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G:\GYS\FPA\Budget\2026\0. Master Budget Blank Template\HO\"/>
    </mc:Choice>
  </mc:AlternateContent>
  <xr:revisionPtr revIDLastSave="0" documentId="13_ncr:1_{4BE24BE3-830D-42F9-9D07-570158A003F3}" xr6:coauthVersionLast="47" xr6:coauthVersionMax="47" xr10:uidLastSave="{00000000-0000-0000-0000-000000000000}"/>
  <bookViews>
    <workbookView xWindow="-110" yWindow="-110" windowWidth="19420" windowHeight="10300" tabRatio="739" xr2:uid="{00000000-000D-0000-FFFF-FFFF00000000}"/>
  </bookViews>
  <sheets>
    <sheet name="Guidance (Indonesia)" sheetId="19" r:id="rId1"/>
    <sheet name="Guidance (English)" sheetId="20" r:id="rId2"/>
    <sheet name="Asset determination" sheetId="17" r:id="rId3"/>
    <sheet name="Cover" sheetId="3" r:id="rId4"/>
    <sheet name="Budget Capex Detail" sheetId="10" r:id="rId5"/>
    <sheet name="Budget Opex Detail" sheetId="7" r:id="rId6"/>
    <sheet name="Activity Master Opex" sheetId="8" r:id="rId7"/>
    <sheet name="Master Data" sheetId="18" r:id="rId8"/>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6" hidden="1">'Activity Master Opex'!$B$3:$G$101</definedName>
    <definedName name="_xlnm._FilterDatabase" localSheetId="4">'Budget Capex Detail'!$A$3:$BM$25</definedName>
    <definedName name="_xlnm._FilterDatabase" localSheetId="5" hidden="1">'Budget Opex Detail'!$A$3:$AR$51</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51" i="7" l="1"/>
  <c r="BS51" i="7"/>
  <c r="BR51" i="7"/>
  <c r="BT50" i="7"/>
  <c r="BS50" i="7"/>
  <c r="BR50" i="7"/>
  <c r="BT49" i="7"/>
  <c r="BS49" i="7"/>
  <c r="BR49" i="7"/>
  <c r="BT48" i="7"/>
  <c r="BS48" i="7"/>
  <c r="BR48" i="7"/>
  <c r="BT47" i="7"/>
  <c r="BS47" i="7"/>
  <c r="BR47" i="7"/>
  <c r="BT46" i="7"/>
  <c r="BS46" i="7"/>
  <c r="BR46" i="7"/>
  <c r="BT45" i="7"/>
  <c r="BS45" i="7"/>
  <c r="BR45" i="7"/>
  <c r="BT44" i="7"/>
  <c r="BS44" i="7"/>
  <c r="BR44" i="7"/>
  <c r="BT43" i="7"/>
  <c r="BS43" i="7"/>
  <c r="BR43" i="7"/>
  <c r="BT42" i="7"/>
  <c r="BS42" i="7"/>
  <c r="BR42" i="7"/>
  <c r="BT41" i="7"/>
  <c r="BS41" i="7"/>
  <c r="BR41" i="7"/>
  <c r="BT40" i="7"/>
  <c r="BS40" i="7"/>
  <c r="BR40" i="7"/>
  <c r="BT39" i="7"/>
  <c r="BS39" i="7"/>
  <c r="BR39" i="7"/>
  <c r="BT38" i="7"/>
  <c r="BS38" i="7"/>
  <c r="BR38" i="7"/>
  <c r="BT37" i="7"/>
  <c r="BS37" i="7"/>
  <c r="BR37" i="7"/>
  <c r="BT36" i="7"/>
  <c r="BS36" i="7"/>
  <c r="BR36" i="7"/>
  <c r="BT35" i="7"/>
  <c r="BS35" i="7"/>
  <c r="BR35" i="7"/>
  <c r="BT34" i="7"/>
  <c r="BS34" i="7"/>
  <c r="BR34" i="7"/>
  <c r="BT33" i="7"/>
  <c r="BS33" i="7"/>
  <c r="BR33" i="7"/>
  <c r="BT32" i="7"/>
  <c r="BS32" i="7"/>
  <c r="BR32" i="7"/>
  <c r="BT31" i="7"/>
  <c r="BS31" i="7"/>
  <c r="BR31" i="7"/>
  <c r="BT30" i="7"/>
  <c r="BS30" i="7"/>
  <c r="BR30" i="7"/>
  <c r="BT29" i="7"/>
  <c r="BS29" i="7"/>
  <c r="BR29" i="7"/>
  <c r="BT28" i="7"/>
  <c r="BS28" i="7"/>
  <c r="BR28" i="7"/>
  <c r="BT27" i="7"/>
  <c r="BS27" i="7"/>
  <c r="BR27" i="7"/>
  <c r="BT26" i="7"/>
  <c r="BS26" i="7"/>
  <c r="BR26" i="7"/>
  <c r="BT25" i="7"/>
  <c r="BS25" i="7"/>
  <c r="BR25" i="7"/>
  <c r="BT24" i="7"/>
  <c r="BS24" i="7"/>
  <c r="BR24" i="7"/>
  <c r="BT23" i="7"/>
  <c r="BS23" i="7"/>
  <c r="BR23" i="7"/>
  <c r="BT22" i="7"/>
  <c r="BS22" i="7"/>
  <c r="BR22" i="7"/>
  <c r="BT21" i="7"/>
  <c r="BS21" i="7"/>
  <c r="BR21" i="7"/>
  <c r="BT20" i="7"/>
  <c r="BS20" i="7"/>
  <c r="BR20" i="7"/>
  <c r="BT19" i="7"/>
  <c r="BS19" i="7"/>
  <c r="BR19" i="7"/>
  <c r="BT18" i="7"/>
  <c r="BS18" i="7"/>
  <c r="BR18" i="7"/>
  <c r="BT17" i="7"/>
  <c r="BS17" i="7"/>
  <c r="BR17" i="7"/>
  <c r="BT16" i="7"/>
  <c r="BS16" i="7"/>
  <c r="BR16" i="7"/>
  <c r="BT15" i="7"/>
  <c r="BS15" i="7"/>
  <c r="BR15" i="7"/>
  <c r="BT14" i="7"/>
  <c r="BS14" i="7"/>
  <c r="BR14" i="7"/>
  <c r="BT13" i="7"/>
  <c r="BS13" i="7"/>
  <c r="BR13" i="7"/>
  <c r="BT12" i="7"/>
  <c r="BS12" i="7"/>
  <c r="BR12" i="7"/>
  <c r="BT11" i="7"/>
  <c r="BS11" i="7"/>
  <c r="BR11" i="7"/>
  <c r="BT10" i="7"/>
  <c r="BS10" i="7"/>
  <c r="BR10" i="7"/>
  <c r="BT9" i="7"/>
  <c r="BS9" i="7"/>
  <c r="BR9" i="7"/>
  <c r="BT8" i="7"/>
  <c r="BS8" i="7"/>
  <c r="BR8" i="7"/>
  <c r="BT7" i="7"/>
  <c r="BS7" i="7"/>
  <c r="BR7" i="7"/>
  <c r="BT6" i="7"/>
  <c r="BS6" i="7"/>
  <c r="BR6" i="7"/>
  <c r="BT5" i="7"/>
  <c r="BS5" i="7"/>
  <c r="BR5"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G51" i="7" l="1"/>
  <c r="G50" i="7"/>
  <c r="G49" i="7"/>
  <c r="G48" i="7"/>
  <c r="G47" i="7"/>
  <c r="G46" i="7"/>
  <c r="G45" i="7"/>
  <c r="G44" i="7"/>
  <c r="G43" i="7"/>
  <c r="G42" i="7"/>
  <c r="G41" i="7"/>
  <c r="G40" i="7"/>
  <c r="G39" i="7"/>
  <c r="G38" i="7"/>
  <c r="G37" i="7"/>
  <c r="G36" i="7"/>
  <c r="B51" i="7"/>
  <c r="B50" i="7"/>
  <c r="B49" i="7"/>
  <c r="B48" i="7"/>
  <c r="B47" i="7"/>
  <c r="B46" i="7"/>
  <c r="B45" i="7"/>
  <c r="B44" i="7"/>
  <c r="B43" i="7"/>
  <c r="B42" i="7"/>
  <c r="B41" i="7"/>
  <c r="B40" i="7"/>
  <c r="B39" i="7"/>
  <c r="B38" i="7"/>
  <c r="B37" i="7"/>
  <c r="B36" i="7"/>
  <c r="C4" i="10"/>
  <c r="BL56" i="10"/>
  <c r="BL55" i="10"/>
  <c r="BL54" i="10"/>
  <c r="BL53" i="10"/>
  <c r="BL52" i="10"/>
  <c r="BL51" i="10"/>
  <c r="BL50" i="10"/>
  <c r="BL49" i="10"/>
  <c r="BL48" i="10"/>
  <c r="BL47" i="10"/>
  <c r="BL46" i="10"/>
  <c r="BL45" i="10"/>
  <c r="BL44" i="10"/>
  <c r="BL43" i="10"/>
  <c r="BL42" i="10"/>
  <c r="BL41" i="10"/>
  <c r="BL40" i="10"/>
  <c r="BL39" i="10"/>
  <c r="BL38" i="10"/>
  <c r="BL37" i="10"/>
  <c r="BL36" i="10"/>
  <c r="BL35" i="10"/>
  <c r="BL34" i="10"/>
  <c r="BL33" i="10"/>
  <c r="BL32" i="10"/>
  <c r="BL31" i="10"/>
  <c r="BL30" i="10"/>
  <c r="BL29" i="10"/>
  <c r="BL28" i="10"/>
  <c r="BL27" i="10"/>
  <c r="BL26" i="10"/>
  <c r="BL25" i="10"/>
  <c r="BL24" i="10"/>
  <c r="BL23" i="10"/>
  <c r="BL22" i="10"/>
  <c r="BL21" i="10"/>
  <c r="BL20" i="10"/>
  <c r="BL19" i="10"/>
  <c r="BL18" i="10"/>
  <c r="BL17" i="10"/>
  <c r="BL16" i="10"/>
  <c r="BL15" i="10"/>
  <c r="BL14" i="10"/>
  <c r="BL13" i="10"/>
  <c r="BL12" i="10"/>
  <c r="BL11" i="10"/>
  <c r="BL10" i="10"/>
  <c r="BL9" i="10"/>
  <c r="D56" i="10"/>
  <c r="E56" i="10" s="1"/>
  <c r="D55" i="10"/>
  <c r="E55" i="10" s="1"/>
  <c r="D54" i="10"/>
  <c r="E54" i="10" s="1"/>
  <c r="D53" i="10"/>
  <c r="E53" i="10" s="1"/>
  <c r="D52" i="10"/>
  <c r="E52" i="10" s="1"/>
  <c r="D51" i="10"/>
  <c r="E51" i="10" s="1"/>
  <c r="D50" i="10"/>
  <c r="E50" i="10" s="1"/>
  <c r="D49" i="10"/>
  <c r="E49" i="10" s="1"/>
  <c r="D48" i="10"/>
  <c r="E48" i="10" s="1"/>
  <c r="D47" i="10"/>
  <c r="E47" i="10" s="1"/>
  <c r="D46" i="10"/>
  <c r="E46" i="10" s="1"/>
  <c r="D45" i="10"/>
  <c r="E45" i="10" s="1"/>
  <c r="E44" i="10"/>
  <c r="D44" i="10"/>
  <c r="D43" i="10"/>
  <c r="E43" i="10" s="1"/>
  <c r="D42" i="10"/>
  <c r="E42" i="10" s="1"/>
  <c r="D41" i="10"/>
  <c r="E41" i="10" s="1"/>
  <c r="D40" i="10"/>
  <c r="E40" i="10" s="1"/>
  <c r="D39" i="10"/>
  <c r="E39" i="10" s="1"/>
  <c r="D38" i="10"/>
  <c r="E38" i="10" s="1"/>
  <c r="D37" i="10"/>
  <c r="E37" i="10" s="1"/>
  <c r="E36" i="10"/>
  <c r="D36" i="10"/>
  <c r="D35" i="10"/>
  <c r="E35" i="10" s="1"/>
  <c r="D34" i="10"/>
  <c r="E34" i="10" s="1"/>
  <c r="D33" i="10"/>
  <c r="E33" i="10" s="1"/>
  <c r="D32" i="10"/>
  <c r="E32" i="10" s="1"/>
  <c r="D31" i="10"/>
  <c r="E31" i="10" s="1"/>
  <c r="D30" i="10"/>
  <c r="E30" i="10" s="1"/>
  <c r="D29" i="10"/>
  <c r="E29" i="10" s="1"/>
  <c r="D28" i="10"/>
  <c r="E28" i="10" s="1"/>
  <c r="D27" i="10"/>
  <c r="E27" i="10" s="1"/>
  <c r="D26" i="10"/>
  <c r="E26" i="10" s="1"/>
  <c r="D25" i="10"/>
  <c r="E25" i="10" s="1"/>
  <c r="D24" i="10"/>
  <c r="E24" i="10" s="1"/>
  <c r="D23" i="10"/>
  <c r="E23" i="10" s="1"/>
  <c r="D22" i="10"/>
  <c r="E22" i="10" s="1"/>
  <c r="D21" i="10"/>
  <c r="E21" i="10" s="1"/>
  <c r="D20" i="10"/>
  <c r="E20" i="10" s="1"/>
  <c r="D19" i="10"/>
  <c r="E19" i="10" s="1"/>
  <c r="D18" i="10"/>
  <c r="E18" i="10" s="1"/>
  <c r="D17" i="10"/>
  <c r="E17" i="10" s="1"/>
  <c r="D16" i="10"/>
  <c r="E16" i="10" s="1"/>
  <c r="D15" i="10"/>
  <c r="E15" i="10" s="1"/>
  <c r="D14" i="10"/>
  <c r="E14" i="10" s="1"/>
  <c r="D13" i="10"/>
  <c r="E13" i="10" s="1"/>
  <c r="E12" i="10"/>
  <c r="D12" i="10"/>
  <c r="D11" i="10"/>
  <c r="E11" i="10" s="1"/>
  <c r="D10" i="10"/>
  <c r="E10" i="10" s="1"/>
  <c r="D9" i="10"/>
  <c r="E9" i="10" s="1"/>
  <c r="D8" i="10"/>
  <c r="E8" i="10" s="1"/>
  <c r="D7" i="10"/>
  <c r="E7" i="10" s="1"/>
  <c r="D6" i="10"/>
  <c r="E6" i="10" s="1"/>
  <c r="D5" i="10"/>
  <c r="E5" i="10" s="1"/>
  <c r="D4" i="10"/>
  <c r="E4" i="10" s="1"/>
  <c r="I145" i="18" l="1"/>
  <c r="J145" i="18"/>
  <c r="L145" i="18"/>
  <c r="I146" i="18"/>
  <c r="J146" i="18"/>
  <c r="L146" i="18"/>
  <c r="B31" i="18"/>
  <c r="C50" i="20" l="1"/>
  <c r="C50" i="19"/>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H35" i="7"/>
  <c r="H34" i="7"/>
  <c r="F101" i="8"/>
  <c r="F92" i="8"/>
  <c r="F100" i="8"/>
  <c r="F99" i="8"/>
  <c r="F98" i="8"/>
  <c r="F97" i="8"/>
  <c r="F96" i="8"/>
  <c r="F95" i="8"/>
  <c r="F94" i="8"/>
  <c r="F93" i="8"/>
  <c r="F87" i="8"/>
  <c r="F86" i="8"/>
  <c r="F85" i="8"/>
  <c r="F84" i="8"/>
  <c r="F83" i="8"/>
  <c r="F82" i="8"/>
  <c r="F81" i="8"/>
  <c r="F80" i="8"/>
  <c r="F79" i="8"/>
  <c r="F78" i="8"/>
  <c r="H305" i="18"/>
  <c r="H290" i="18"/>
  <c r="H252" i="18"/>
  <c r="H251" i="18"/>
  <c r="BD5" i="10" l="1"/>
  <c r="BD6" i="10"/>
  <c r="BD7" i="10"/>
  <c r="BD8" i="10"/>
  <c r="BD9" i="10"/>
  <c r="BD10" i="10"/>
  <c r="BD11" i="10"/>
  <c r="BD12" i="10"/>
  <c r="BD13" i="10"/>
  <c r="BD14" i="10"/>
  <c r="BD15" i="10"/>
  <c r="BD16" i="10"/>
  <c r="BD17" i="10"/>
  <c r="BD18" i="10"/>
  <c r="BD19" i="10"/>
  <c r="BD20" i="10"/>
  <c r="BD21" i="10"/>
  <c r="BD22" i="10"/>
  <c r="BD23" i="10"/>
  <c r="BD24" i="10"/>
  <c r="BD25" i="10"/>
  <c r="BD26" i="10"/>
  <c r="BD27" i="10"/>
  <c r="BD28" i="10"/>
  <c r="BD29" i="10"/>
  <c r="BD30" i="10"/>
  <c r="BD31" i="10"/>
  <c r="BD32" i="10"/>
  <c r="BD33" i="10"/>
  <c r="BD34" i="10"/>
  <c r="BD35" i="10"/>
  <c r="BD36" i="10"/>
  <c r="BD37" i="10"/>
  <c r="BD38" i="10"/>
  <c r="BD39" i="10"/>
  <c r="BD40" i="10"/>
  <c r="BD41" i="10"/>
  <c r="BD42" i="10"/>
  <c r="BD43" i="10"/>
  <c r="BD44" i="10"/>
  <c r="BD45" i="10"/>
  <c r="BD46" i="10"/>
  <c r="BD47" i="10"/>
  <c r="BD48" i="10"/>
  <c r="BD49" i="10"/>
  <c r="BD50" i="10"/>
  <c r="BD51" i="10"/>
  <c r="BD52" i="10"/>
  <c r="BD53" i="10"/>
  <c r="BD54" i="10"/>
  <c r="BD55" i="10"/>
  <c r="BD56" i="10"/>
  <c r="BD4" i="10"/>
  <c r="L133" i="18"/>
  <c r="J133" i="18"/>
  <c r="I133" i="18"/>
  <c r="BL5" i="7"/>
  <c r="BL6" i="7"/>
  <c r="BL7" i="7"/>
  <c r="BL8" i="7"/>
  <c r="BL9" i="7"/>
  <c r="BL10" i="7"/>
  <c r="BL11" i="7"/>
  <c r="BL12" i="7"/>
  <c r="BL13" i="7"/>
  <c r="BL14" i="7"/>
  <c r="BL15" i="7"/>
  <c r="BL16" i="7"/>
  <c r="BL17" i="7"/>
  <c r="BL18" i="7"/>
  <c r="BL19" i="7"/>
  <c r="BL20" i="7"/>
  <c r="BL21" i="7"/>
  <c r="BL22" i="7"/>
  <c r="BL23" i="7"/>
  <c r="BL24" i="7"/>
  <c r="BL25" i="7"/>
  <c r="BL26" i="7"/>
  <c r="BL27" i="7"/>
  <c r="BL28" i="7"/>
  <c r="BL29" i="7"/>
  <c r="BL30" i="7"/>
  <c r="BL31" i="7"/>
  <c r="BL32" i="7"/>
  <c r="BL33" i="7"/>
  <c r="BL34" i="7"/>
  <c r="BL35" i="7"/>
  <c r="BL36" i="7"/>
  <c r="BL37" i="7"/>
  <c r="BL38" i="7"/>
  <c r="BL39" i="7"/>
  <c r="BL40" i="7"/>
  <c r="BL41" i="7"/>
  <c r="BL42" i="7"/>
  <c r="BL43" i="7"/>
  <c r="BL44" i="7"/>
  <c r="BL45" i="7"/>
  <c r="BL46" i="7"/>
  <c r="BL47" i="7"/>
  <c r="BL48" i="7"/>
  <c r="BL49" i="7"/>
  <c r="BL50" i="7"/>
  <c r="BL51" i="7"/>
  <c r="BL4" i="7"/>
  <c r="I144" i="18"/>
  <c r="I143" i="18"/>
  <c r="I142" i="18"/>
  <c r="I141" i="18"/>
  <c r="I140" i="18"/>
  <c r="I139" i="18"/>
  <c r="I138" i="18"/>
  <c r="I137" i="18"/>
  <c r="I136" i="18"/>
  <c r="I135" i="18"/>
  <c r="I134" i="18"/>
  <c r="I132" i="18"/>
  <c r="I131" i="18"/>
  <c r="I130" i="18"/>
  <c r="I129" i="18"/>
  <c r="I128" i="18"/>
  <c r="I127" i="18"/>
  <c r="I126" i="18"/>
  <c r="I125" i="18"/>
  <c r="I124" i="18"/>
  <c r="I123" i="18"/>
  <c r="I122" i="18"/>
  <c r="I121" i="18"/>
  <c r="I120" i="18"/>
  <c r="I119" i="18"/>
  <c r="I118" i="18"/>
  <c r="I117" i="18"/>
  <c r="I116" i="18"/>
  <c r="I115" i="18"/>
  <c r="I114" i="18"/>
  <c r="I113" i="18"/>
  <c r="I112" i="18"/>
  <c r="I111" i="18"/>
  <c r="I110" i="18"/>
  <c r="I109" i="18"/>
  <c r="I108" i="18"/>
  <c r="I107" i="18"/>
  <c r="I106" i="18"/>
  <c r="I105" i="18"/>
  <c r="I104" i="18"/>
  <c r="I103" i="18"/>
  <c r="I102" i="18"/>
  <c r="I101" i="18"/>
  <c r="I100" i="18"/>
  <c r="I99" i="18"/>
  <c r="I98" i="18"/>
  <c r="I97" i="18"/>
  <c r="I96" i="18"/>
  <c r="I95" i="18"/>
  <c r="I94" i="18"/>
  <c r="I93" i="18"/>
  <c r="I92" i="18"/>
  <c r="I91" i="18"/>
  <c r="I90" i="18"/>
  <c r="I89" i="18"/>
  <c r="I88" i="18"/>
  <c r="I87" i="18"/>
  <c r="I86" i="18"/>
  <c r="I85" i="18"/>
  <c r="I84" i="18"/>
  <c r="I83" i="18"/>
  <c r="I82" i="18"/>
  <c r="I81" i="18"/>
  <c r="I80" i="18"/>
  <c r="I79" i="18"/>
  <c r="I78" i="18"/>
  <c r="I77" i="18"/>
  <c r="I76" i="18"/>
  <c r="I75" i="18"/>
  <c r="I74" i="18"/>
  <c r="I73" i="18"/>
  <c r="I72" i="18"/>
  <c r="I71" i="18"/>
  <c r="I70" i="18"/>
  <c r="I69" i="18"/>
  <c r="I68" i="18"/>
  <c r="I67" i="18"/>
  <c r="I66" i="18"/>
  <c r="I65" i="18"/>
  <c r="I64" i="18"/>
  <c r="I63" i="18"/>
  <c r="I62" i="18"/>
  <c r="I61" i="18"/>
  <c r="I60" i="18"/>
  <c r="I59" i="18"/>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32" i="10"/>
  <c r="BI33" i="10"/>
  <c r="BI34" i="10"/>
  <c r="BI35" i="10"/>
  <c r="BI36" i="10"/>
  <c r="BI37" i="10"/>
  <c r="BI38" i="10"/>
  <c r="BI39" i="10"/>
  <c r="BI40" i="10"/>
  <c r="BI41" i="10"/>
  <c r="BI42" i="10"/>
  <c r="BI43" i="10"/>
  <c r="BI44" i="10"/>
  <c r="BI45" i="10"/>
  <c r="BI46" i="10"/>
  <c r="BI47" i="10"/>
  <c r="BI48" i="10"/>
  <c r="BI49" i="10"/>
  <c r="BI50" i="10"/>
  <c r="BI51" i="10"/>
  <c r="BI52" i="10"/>
  <c r="BI53" i="10"/>
  <c r="BI54" i="10"/>
  <c r="BI55" i="10"/>
  <c r="BI56" i="10"/>
  <c r="BI4" i="10"/>
  <c r="L84" i="18"/>
  <c r="J84" i="18"/>
  <c r="D101" i="8"/>
  <c r="D100" i="8"/>
  <c r="D99" i="8"/>
  <c r="D98" i="8"/>
  <c r="D97" i="8"/>
  <c r="D96" i="8"/>
  <c r="D95" i="8"/>
  <c r="D94" i="8"/>
  <c r="D93" i="8"/>
  <c r="D92" i="8"/>
  <c r="D87" i="8"/>
  <c r="D86" i="8"/>
  <c r="D85" i="8"/>
  <c r="D84" i="8"/>
  <c r="D83" i="8"/>
  <c r="D82" i="8"/>
  <c r="D81" i="8"/>
  <c r="D80" i="8"/>
  <c r="D79" i="8"/>
  <c r="D78" i="8"/>
  <c r="G68" i="8" l="1"/>
  <c r="G56" i="8"/>
  <c r="G44" i="8"/>
  <c r="G32" i="8"/>
  <c r="G20" i="8"/>
  <c r="G8" i="8"/>
  <c r="G29" i="8"/>
  <c r="G5" i="8"/>
  <c r="G40" i="8"/>
  <c r="G63" i="8"/>
  <c r="G15" i="8"/>
  <c r="G61" i="8"/>
  <c r="G13" i="8"/>
  <c r="G57" i="8"/>
  <c r="G67" i="8"/>
  <c r="G55" i="8"/>
  <c r="G43" i="8"/>
  <c r="G31" i="8"/>
  <c r="G19" i="8"/>
  <c r="G7" i="8"/>
  <c r="G53" i="8"/>
  <c r="G17" i="8"/>
  <c r="G64" i="8"/>
  <c r="G28" i="8"/>
  <c r="G4" i="8"/>
  <c r="G51" i="8"/>
  <c r="G27" i="8"/>
  <c r="G62" i="8"/>
  <c r="G26" i="8"/>
  <c r="G14" i="8"/>
  <c r="G49" i="8"/>
  <c r="G25" i="8"/>
  <c r="G22" i="8"/>
  <c r="G33" i="8"/>
  <c r="G66" i="8"/>
  <c r="G54" i="8"/>
  <c r="G42" i="8"/>
  <c r="G30" i="8"/>
  <c r="G18" i="8"/>
  <c r="G6" i="8"/>
  <c r="G41" i="8"/>
  <c r="G52" i="8"/>
  <c r="G16" i="8"/>
  <c r="G39" i="8"/>
  <c r="G38" i="8"/>
  <c r="G37" i="8"/>
  <c r="G10" i="8"/>
  <c r="G9" i="8"/>
  <c r="G65" i="8"/>
  <c r="G21" i="8"/>
  <c r="G50" i="8"/>
  <c r="G60" i="8"/>
  <c r="G48" i="8"/>
  <c r="G36" i="8"/>
  <c r="G24" i="8"/>
  <c r="G12" i="8"/>
  <c r="G59" i="8"/>
  <c r="G47" i="8"/>
  <c r="G35" i="8"/>
  <c r="G23" i="8"/>
  <c r="G11" i="8"/>
  <c r="G58" i="8"/>
  <c r="G46" i="8"/>
  <c r="G34" i="8"/>
  <c r="G45" i="8"/>
  <c r="I13" i="8"/>
  <c r="I14" i="8"/>
  <c r="I15" i="8"/>
  <c r="I16" i="8"/>
  <c r="I17" i="8"/>
  <c r="I23" i="8"/>
  <c r="I24" i="8"/>
  <c r="I28" i="8"/>
  <c r="I29" i="8"/>
  <c r="I30" i="8"/>
  <c r="I31" i="8"/>
  <c r="I32" i="8"/>
  <c r="I39" i="8"/>
  <c r="I40" i="8"/>
  <c r="I41" i="8"/>
  <c r="I42" i="8"/>
  <c r="I43" i="8"/>
  <c r="I51" i="8"/>
  <c r="I52" i="8"/>
  <c r="I53" i="8"/>
  <c r="I54" i="8"/>
  <c r="I55" i="8"/>
  <c r="I62" i="8"/>
  <c r="I63" i="8"/>
  <c r="I64" i="8"/>
  <c r="I65" i="8"/>
  <c r="I66" i="8"/>
  <c r="I87" i="8"/>
  <c r="I85" i="8"/>
  <c r="I83" i="8"/>
  <c r="I82" i="8"/>
  <c r="I81" i="8"/>
  <c r="I80" i="8"/>
  <c r="I79" i="8"/>
  <c r="I78" i="8"/>
  <c r="B5" i="10"/>
  <c r="H5" i="10"/>
  <c r="I5" i="10" s="1"/>
  <c r="BL5" i="10" s="1"/>
  <c r="H6" i="10"/>
  <c r="I6" i="10" s="1"/>
  <c r="H7" i="10"/>
  <c r="I7" i="10" s="1"/>
  <c r="BL7" i="10" s="1"/>
  <c r="C8" i="10"/>
  <c r="A8" i="10"/>
  <c r="H8" i="10"/>
  <c r="I8" i="10" s="1"/>
  <c r="BL8" i="10" s="1"/>
  <c r="C9" i="10"/>
  <c r="B9" i="10"/>
  <c r="H9" i="10"/>
  <c r="I9" i="10" s="1"/>
  <c r="C10" i="10"/>
  <c r="H10" i="10"/>
  <c r="I10" i="10" s="1"/>
  <c r="BK10" i="10" s="1"/>
  <c r="C11" i="10"/>
  <c r="A11" i="10"/>
  <c r="H11" i="10"/>
  <c r="I11" i="10" s="1"/>
  <c r="BK11" i="10" s="1"/>
  <c r="C12" i="10"/>
  <c r="A12" i="10"/>
  <c r="H12" i="10"/>
  <c r="I12" i="10" s="1"/>
  <c r="C13" i="10"/>
  <c r="B13" i="10"/>
  <c r="H13" i="10"/>
  <c r="J13" i="10" s="1"/>
  <c r="C14" i="10"/>
  <c r="H14" i="10"/>
  <c r="I14" i="10" s="1"/>
  <c r="BK14" i="10" s="1"/>
  <c r="C15" i="10"/>
  <c r="B15" i="10"/>
  <c r="H15" i="10"/>
  <c r="I15" i="10" s="1"/>
  <c r="BK15" i="10" s="1"/>
  <c r="C16" i="10"/>
  <c r="A16" i="10"/>
  <c r="H16" i="10"/>
  <c r="I16" i="10" s="1"/>
  <c r="C17" i="10"/>
  <c r="B17" i="10"/>
  <c r="H17" i="10"/>
  <c r="I17" i="10" s="1"/>
  <c r="C18" i="10"/>
  <c r="H18" i="10"/>
  <c r="I18" i="10" s="1"/>
  <c r="BK18" i="10" s="1"/>
  <c r="C19" i="10"/>
  <c r="B19" i="10"/>
  <c r="H19" i="10"/>
  <c r="I19" i="10" s="1"/>
  <c r="BK19" i="10" s="1"/>
  <c r="C20" i="10"/>
  <c r="A20" i="10"/>
  <c r="H20" i="10"/>
  <c r="J20" i="10" s="1"/>
  <c r="C21" i="10"/>
  <c r="B21" i="10"/>
  <c r="H21" i="10"/>
  <c r="I21" i="10" s="1"/>
  <c r="C22" i="10"/>
  <c r="H22" i="10"/>
  <c r="I22" i="10" s="1"/>
  <c r="BK22" i="10" s="1"/>
  <c r="C23" i="10"/>
  <c r="B23" i="10"/>
  <c r="H23" i="10"/>
  <c r="I23" i="10" s="1"/>
  <c r="BK23" i="10" s="1"/>
  <c r="C24" i="10"/>
  <c r="A24" i="10"/>
  <c r="H24" i="10"/>
  <c r="I24" i="10" s="1"/>
  <c r="C25" i="10"/>
  <c r="B25" i="10"/>
  <c r="H25" i="10"/>
  <c r="I25" i="10" s="1"/>
  <c r="C26" i="10"/>
  <c r="H26" i="10"/>
  <c r="I26" i="10" s="1"/>
  <c r="BK26" i="10" s="1"/>
  <c r="C27" i="10"/>
  <c r="A27" i="10"/>
  <c r="H27" i="10"/>
  <c r="I27" i="10" s="1"/>
  <c r="BK27" i="10" s="1"/>
  <c r="C28" i="10"/>
  <c r="A28" i="10"/>
  <c r="H28" i="10"/>
  <c r="I28" i="10" s="1"/>
  <c r="C29" i="10"/>
  <c r="B29" i="10"/>
  <c r="H29" i="10"/>
  <c r="I29" i="10" s="1"/>
  <c r="C30" i="10"/>
  <c r="H30" i="10"/>
  <c r="I30" i="10" s="1"/>
  <c r="C31" i="10"/>
  <c r="A31" i="10"/>
  <c r="H31" i="10"/>
  <c r="I31" i="10" s="1"/>
  <c r="BK31" i="10" s="1"/>
  <c r="C32" i="10"/>
  <c r="A32" i="10"/>
  <c r="H32" i="10"/>
  <c r="J32" i="10" s="1"/>
  <c r="C33" i="10"/>
  <c r="B33" i="10"/>
  <c r="H33" i="10"/>
  <c r="I33" i="10" s="1"/>
  <c r="C34" i="10"/>
  <c r="H34" i="10"/>
  <c r="I34" i="10" s="1"/>
  <c r="C35" i="10"/>
  <c r="B35" i="10"/>
  <c r="H35" i="10"/>
  <c r="I35" i="10" s="1"/>
  <c r="C36" i="10"/>
  <c r="A36" i="10"/>
  <c r="H36" i="10"/>
  <c r="I36" i="10" s="1"/>
  <c r="C37" i="10"/>
  <c r="B37" i="10"/>
  <c r="H37" i="10"/>
  <c r="I37" i="10" s="1"/>
  <c r="C38" i="10"/>
  <c r="H38" i="10"/>
  <c r="I38" i="10" s="1"/>
  <c r="BK38" i="10" s="1"/>
  <c r="C39" i="10"/>
  <c r="B39" i="10"/>
  <c r="H39" i="10"/>
  <c r="I39" i="10" s="1"/>
  <c r="BK39" i="10" s="1"/>
  <c r="C40" i="10"/>
  <c r="A40" i="10"/>
  <c r="H40" i="10"/>
  <c r="I40" i="10" s="1"/>
  <c r="C41" i="10"/>
  <c r="B41" i="10"/>
  <c r="H41" i="10"/>
  <c r="I41" i="10" s="1"/>
  <c r="C42" i="10"/>
  <c r="H42" i="10"/>
  <c r="I42" i="10" s="1"/>
  <c r="C43" i="10"/>
  <c r="B43" i="10"/>
  <c r="H43" i="10"/>
  <c r="I43" i="10" s="1"/>
  <c r="BK43" i="10" s="1"/>
  <c r="C44" i="10"/>
  <c r="A44" i="10"/>
  <c r="H44" i="10"/>
  <c r="I44" i="10" s="1"/>
  <c r="C45" i="10"/>
  <c r="B45" i="10"/>
  <c r="H45" i="10"/>
  <c r="J45" i="10" s="1"/>
  <c r="C46" i="10"/>
  <c r="H46" i="10"/>
  <c r="I46" i="10" s="1"/>
  <c r="BK46" i="10" s="1"/>
  <c r="C47" i="10"/>
  <c r="B47" i="10"/>
  <c r="H47" i="10"/>
  <c r="I47" i="10" s="1"/>
  <c r="BK47" i="10" s="1"/>
  <c r="C48" i="10"/>
  <c r="A48" i="10"/>
  <c r="H48" i="10"/>
  <c r="I48" i="10" s="1"/>
  <c r="C49" i="10"/>
  <c r="B49" i="10"/>
  <c r="H49" i="10"/>
  <c r="I49" i="10" s="1"/>
  <c r="BK49" i="10" s="1"/>
  <c r="C50" i="10"/>
  <c r="H50" i="10"/>
  <c r="I50" i="10" s="1"/>
  <c r="BK50" i="10" s="1"/>
  <c r="C51" i="10"/>
  <c r="B51" i="10"/>
  <c r="H51" i="10"/>
  <c r="I51" i="10" s="1"/>
  <c r="BK51" i="10" s="1"/>
  <c r="C52" i="10"/>
  <c r="A52" i="10"/>
  <c r="H52" i="10"/>
  <c r="I52" i="10" s="1"/>
  <c r="C53" i="10"/>
  <c r="B53" i="10"/>
  <c r="H53" i="10"/>
  <c r="I53" i="10" s="1"/>
  <c r="C54" i="10"/>
  <c r="H54" i="10"/>
  <c r="I54" i="10" s="1"/>
  <c r="BK54" i="10" s="1"/>
  <c r="C55" i="10"/>
  <c r="B55" i="10"/>
  <c r="H55" i="10"/>
  <c r="I55" i="10" s="1"/>
  <c r="C56" i="10"/>
  <c r="A56" i="10"/>
  <c r="H56" i="10"/>
  <c r="J56" i="10" s="1"/>
  <c r="H4" i="10"/>
  <c r="I4" i="10" s="1"/>
  <c r="BL4" i="10" s="1"/>
  <c r="H331" i="18"/>
  <c r="H330" i="18"/>
  <c r="H329" i="18"/>
  <c r="H328" i="18"/>
  <c r="H327" i="18"/>
  <c r="H326" i="18"/>
  <c r="H325" i="18"/>
  <c r="H324" i="18"/>
  <c r="H323" i="18"/>
  <c r="H322" i="18"/>
  <c r="H321" i="18"/>
  <c r="H320" i="18"/>
  <c r="H319" i="18"/>
  <c r="H318" i="18"/>
  <c r="H317" i="18"/>
  <c r="H316" i="18"/>
  <c r="H315" i="18"/>
  <c r="H314" i="18"/>
  <c r="H313" i="18"/>
  <c r="H312" i="18"/>
  <c r="H311" i="18"/>
  <c r="H310" i="18"/>
  <c r="H309" i="18"/>
  <c r="H308" i="18"/>
  <c r="H307" i="18"/>
  <c r="H306" i="18"/>
  <c r="H304" i="18"/>
  <c r="H303" i="18"/>
  <c r="H302" i="18"/>
  <c r="H301" i="18"/>
  <c r="H300" i="18"/>
  <c r="H299" i="18"/>
  <c r="H298" i="18"/>
  <c r="H297" i="18"/>
  <c r="H296" i="18"/>
  <c r="H295" i="18"/>
  <c r="H294" i="18"/>
  <c r="H293" i="18"/>
  <c r="H292" i="18"/>
  <c r="H291" i="18"/>
  <c r="H289" i="18"/>
  <c r="H288" i="18"/>
  <c r="H287" i="18"/>
  <c r="H286" i="18"/>
  <c r="H285" i="18"/>
  <c r="H284" i="18"/>
  <c r="H283" i="18"/>
  <c r="H282" i="18"/>
  <c r="H281" i="18"/>
  <c r="H280" i="18"/>
  <c r="H279" i="18"/>
  <c r="H278" i="18"/>
  <c r="H277" i="18"/>
  <c r="H276" i="18"/>
  <c r="H275" i="18"/>
  <c r="H274" i="18"/>
  <c r="H273" i="18"/>
  <c r="H272" i="18"/>
  <c r="H271" i="18"/>
  <c r="H270" i="18"/>
  <c r="H269" i="18"/>
  <c r="H268" i="18"/>
  <c r="H267" i="18"/>
  <c r="H266" i="18"/>
  <c r="H265" i="18"/>
  <c r="H264" i="18"/>
  <c r="H263" i="18"/>
  <c r="H262" i="18"/>
  <c r="H261" i="18"/>
  <c r="H260" i="18"/>
  <c r="H259" i="18"/>
  <c r="H258" i="18"/>
  <c r="H257" i="18"/>
  <c r="H256" i="18"/>
  <c r="H255" i="18"/>
  <c r="H254" i="18"/>
  <c r="H253" i="18"/>
  <c r="H250" i="18"/>
  <c r="H249" i="18"/>
  <c r="H248" i="18"/>
  <c r="H247" i="18"/>
  <c r="H246" i="18"/>
  <c r="H245" i="18"/>
  <c r="H244" i="18"/>
  <c r="H243" i="18"/>
  <c r="H242" i="18"/>
  <c r="H241" i="18"/>
  <c r="H240" i="18"/>
  <c r="H239" i="18"/>
  <c r="H238" i="18"/>
  <c r="H237" i="18"/>
  <c r="H236" i="18"/>
  <c r="H235" i="18"/>
  <c r="H234" i="18"/>
  <c r="H233" i="18"/>
  <c r="H227" i="18"/>
  <c r="H226" i="18"/>
  <c r="H225" i="18"/>
  <c r="H224" i="18"/>
  <c r="H223" i="18"/>
  <c r="H222" i="18"/>
  <c r="H221" i="18"/>
  <c r="H220" i="18"/>
  <c r="H219" i="18"/>
  <c r="H218" i="18"/>
  <c r="H217" i="18"/>
  <c r="H216" i="18"/>
  <c r="H215" i="18"/>
  <c r="H214" i="18"/>
  <c r="H213" i="18"/>
  <c r="H212" i="18"/>
  <c r="H211" i="18"/>
  <c r="H210" i="18"/>
  <c r="H209" i="18"/>
  <c r="H208" i="18"/>
  <c r="H207" i="18"/>
  <c r="H206" i="18"/>
  <c r="H205" i="18"/>
  <c r="H204" i="18"/>
  <c r="H203" i="18"/>
  <c r="H202" i="18"/>
  <c r="H201" i="18"/>
  <c r="H200" i="18"/>
  <c r="H199" i="18"/>
  <c r="H198" i="18"/>
  <c r="H197" i="18"/>
  <c r="H196" i="18"/>
  <c r="H195" i="18"/>
  <c r="H194" i="18"/>
  <c r="H193" i="18"/>
  <c r="H192" i="18"/>
  <c r="H191" i="18"/>
  <c r="H190" i="18"/>
  <c r="H189" i="18"/>
  <c r="H188" i="18"/>
  <c r="H187" i="18"/>
  <c r="H186" i="18"/>
  <c r="H185" i="18"/>
  <c r="H184" i="18"/>
  <c r="H183" i="18"/>
  <c r="H182" i="18"/>
  <c r="H181" i="18"/>
  <c r="H180" i="18"/>
  <c r="H179" i="18"/>
  <c r="H178" i="18"/>
  <c r="H177" i="18"/>
  <c r="H176" i="18"/>
  <c r="H175" i="18"/>
  <c r="H174" i="18"/>
  <c r="H173" i="18"/>
  <c r="H172" i="18"/>
  <c r="H171" i="18"/>
  <c r="H170" i="18"/>
  <c r="H169" i="18"/>
  <c r="H168" i="18"/>
  <c r="H167" i="18"/>
  <c r="H166" i="18"/>
  <c r="H165" i="18"/>
  <c r="H164" i="18"/>
  <c r="H163" i="18"/>
  <c r="H162" i="18"/>
  <c r="H161" i="18"/>
  <c r="H160" i="18"/>
  <c r="H159" i="18"/>
  <c r="H158" i="18"/>
  <c r="H157" i="18"/>
  <c r="H156" i="18"/>
  <c r="H155" i="18"/>
  <c r="H154" i="18"/>
  <c r="H153" i="18"/>
  <c r="H152" i="18"/>
  <c r="L144" i="18"/>
  <c r="J144" i="18"/>
  <c r="L143" i="18"/>
  <c r="J143" i="18"/>
  <c r="L142" i="18"/>
  <c r="J142" i="18"/>
  <c r="L141" i="18"/>
  <c r="J141" i="18"/>
  <c r="L140" i="18"/>
  <c r="J140" i="18"/>
  <c r="L139" i="18"/>
  <c r="J139" i="18"/>
  <c r="L138" i="18"/>
  <c r="J138" i="18"/>
  <c r="L137" i="18"/>
  <c r="J137" i="18"/>
  <c r="L136" i="18"/>
  <c r="J136" i="18"/>
  <c r="L135" i="18"/>
  <c r="J135" i="18"/>
  <c r="L134" i="18"/>
  <c r="J134" i="18"/>
  <c r="L132" i="18"/>
  <c r="J132" i="18"/>
  <c r="L131" i="18"/>
  <c r="J131" i="18"/>
  <c r="L130" i="18"/>
  <c r="J130" i="18"/>
  <c r="L129" i="18"/>
  <c r="J129" i="18"/>
  <c r="L128" i="18"/>
  <c r="J128" i="18"/>
  <c r="L127" i="18"/>
  <c r="J127" i="18"/>
  <c r="L126" i="18"/>
  <c r="J126" i="18"/>
  <c r="L125" i="18"/>
  <c r="J125" i="18"/>
  <c r="L124" i="18"/>
  <c r="J124" i="18"/>
  <c r="L123" i="18"/>
  <c r="J123" i="18"/>
  <c r="L122" i="18"/>
  <c r="J122" i="18"/>
  <c r="L121" i="18"/>
  <c r="J121" i="18"/>
  <c r="L120" i="18"/>
  <c r="J120" i="18"/>
  <c r="L119" i="18"/>
  <c r="J119" i="18"/>
  <c r="L118" i="18"/>
  <c r="J118" i="18"/>
  <c r="L117" i="18"/>
  <c r="J117" i="18"/>
  <c r="L116" i="18"/>
  <c r="J116" i="18"/>
  <c r="L115" i="18"/>
  <c r="J115" i="18"/>
  <c r="L114" i="18"/>
  <c r="J114" i="18"/>
  <c r="L113" i="18"/>
  <c r="J113" i="18"/>
  <c r="L112" i="18"/>
  <c r="J112" i="18"/>
  <c r="L111" i="18"/>
  <c r="J111" i="18"/>
  <c r="L110" i="18"/>
  <c r="J110" i="18"/>
  <c r="L109" i="18"/>
  <c r="J109" i="18"/>
  <c r="L108" i="18"/>
  <c r="J108" i="18"/>
  <c r="L107" i="18"/>
  <c r="J107" i="18"/>
  <c r="L106" i="18"/>
  <c r="J106" i="18"/>
  <c r="L105" i="18"/>
  <c r="J105" i="18"/>
  <c r="L104" i="18"/>
  <c r="J104" i="18"/>
  <c r="L103" i="18"/>
  <c r="J103" i="18"/>
  <c r="L102" i="18"/>
  <c r="J102" i="18"/>
  <c r="L101" i="18"/>
  <c r="J101" i="18"/>
  <c r="L100" i="18"/>
  <c r="J100" i="18"/>
  <c r="L99" i="18"/>
  <c r="J99" i="18"/>
  <c r="L98" i="18"/>
  <c r="A7" i="10" s="1"/>
  <c r="J98" i="18"/>
  <c r="C7" i="10" s="1"/>
  <c r="L97" i="18"/>
  <c r="J97" i="18"/>
  <c r="C6" i="10" s="1"/>
  <c r="L96" i="18"/>
  <c r="J96" i="18"/>
  <c r="C5" i="10" s="1"/>
  <c r="L95" i="18"/>
  <c r="J95" i="18"/>
  <c r="L94" i="18"/>
  <c r="J94" i="18"/>
  <c r="L93" i="18"/>
  <c r="J93" i="18"/>
  <c r="L92" i="18"/>
  <c r="J92" i="18"/>
  <c r="L91" i="18"/>
  <c r="J91" i="18"/>
  <c r="L90" i="18"/>
  <c r="J90" i="18"/>
  <c r="L89" i="18"/>
  <c r="J89" i="18"/>
  <c r="L88" i="18"/>
  <c r="J88" i="18"/>
  <c r="L87" i="18"/>
  <c r="J87" i="18"/>
  <c r="L86" i="18"/>
  <c r="J86" i="18"/>
  <c r="L85" i="18"/>
  <c r="J85" i="18"/>
  <c r="L83" i="18"/>
  <c r="J83" i="18"/>
  <c r="L82" i="18"/>
  <c r="J82" i="18"/>
  <c r="L81" i="18"/>
  <c r="J81" i="18"/>
  <c r="L80" i="18"/>
  <c r="J80" i="18"/>
  <c r="L79" i="18"/>
  <c r="J79" i="18"/>
  <c r="L78" i="18"/>
  <c r="J78" i="18"/>
  <c r="L77" i="18"/>
  <c r="J77" i="18"/>
  <c r="L76" i="18"/>
  <c r="J76" i="18"/>
  <c r="L75" i="18"/>
  <c r="J75" i="18"/>
  <c r="L74" i="18"/>
  <c r="J74" i="18"/>
  <c r="L73" i="18"/>
  <c r="J73" i="18"/>
  <c r="L72" i="18"/>
  <c r="J72" i="18"/>
  <c r="L71" i="18"/>
  <c r="J71" i="18"/>
  <c r="L70" i="18"/>
  <c r="J70" i="18"/>
  <c r="L69" i="18"/>
  <c r="J69" i="18"/>
  <c r="L68" i="18"/>
  <c r="J68" i="18"/>
  <c r="L67" i="18"/>
  <c r="J67" i="18"/>
  <c r="L66" i="18"/>
  <c r="J66" i="18"/>
  <c r="L65" i="18"/>
  <c r="J65" i="18"/>
  <c r="L64" i="18"/>
  <c r="J64" i="18"/>
  <c r="L63" i="18"/>
  <c r="J63" i="18"/>
  <c r="L62" i="18"/>
  <c r="J62" i="18"/>
  <c r="L61" i="18"/>
  <c r="J61" i="18"/>
  <c r="L60" i="18"/>
  <c r="J60" i="18"/>
  <c r="L59" i="18"/>
  <c r="J59" i="18"/>
  <c r="I4" i="8"/>
  <c r="BK6" i="10" l="1"/>
  <c r="BL6" i="10"/>
  <c r="I20" i="10"/>
  <c r="J49" i="10"/>
  <c r="L49" i="10" s="1"/>
  <c r="I56" i="10"/>
  <c r="BK56" i="10" s="1"/>
  <c r="J52" i="10"/>
  <c r="L52" i="10" s="1"/>
  <c r="J33" i="10"/>
  <c r="L33" i="10" s="1"/>
  <c r="BK35" i="10"/>
  <c r="J36" i="10"/>
  <c r="L36" i="10" s="1"/>
  <c r="J29" i="10"/>
  <c r="L29" i="10" s="1"/>
  <c r="J24" i="10"/>
  <c r="L24" i="10" s="1"/>
  <c r="J53" i="10"/>
  <c r="L53" i="10" s="1"/>
  <c r="J5" i="10"/>
  <c r="L5" i="10" s="1"/>
  <c r="BK53" i="10"/>
  <c r="BK29" i="10"/>
  <c r="BK40" i="10"/>
  <c r="BK33" i="10"/>
  <c r="I45" i="10"/>
  <c r="L45" i="10" s="1"/>
  <c r="BK30" i="10"/>
  <c r="J40" i="10"/>
  <c r="L40" i="10" s="1"/>
  <c r="J17" i="10"/>
  <c r="L17" i="10" s="1"/>
  <c r="BK34" i="10"/>
  <c r="B50" i="10"/>
  <c r="A50" i="10"/>
  <c r="A6" i="10"/>
  <c r="A41" i="10"/>
  <c r="A46" i="10"/>
  <c r="B14" i="10"/>
  <c r="A37" i="10"/>
  <c r="A17" i="10"/>
  <c r="A14" i="10"/>
  <c r="A30" i="10"/>
  <c r="A21" i="10"/>
  <c r="A42" i="10"/>
  <c r="BK8" i="10"/>
  <c r="BK44" i="10"/>
  <c r="BK21" i="10"/>
  <c r="BK37" i="10"/>
  <c r="BK48" i="10"/>
  <c r="BK25" i="10"/>
  <c r="B38" i="10"/>
  <c r="I50" i="8"/>
  <c r="I38" i="8"/>
  <c r="I27" i="8"/>
  <c r="I12" i="8"/>
  <c r="B18" i="10"/>
  <c r="A25" i="10"/>
  <c r="A18" i="10"/>
  <c r="B22" i="10"/>
  <c r="A10" i="10"/>
  <c r="A45" i="10"/>
  <c r="A38" i="10"/>
  <c r="A22" i="10"/>
  <c r="A5" i="10"/>
  <c r="I60" i="8"/>
  <c r="I49" i="8"/>
  <c r="I37" i="8"/>
  <c r="I26" i="8"/>
  <c r="I11" i="8"/>
  <c r="J44" i="10"/>
  <c r="L44" i="10" s="1"/>
  <c r="J37" i="10"/>
  <c r="L37" i="10" s="1"/>
  <c r="A29" i="10"/>
  <c r="B26" i="10"/>
  <c r="J21" i="10"/>
  <c r="L21" i="10" s="1"/>
  <c r="I59" i="8"/>
  <c r="I48" i="8"/>
  <c r="I36" i="8"/>
  <c r="I22" i="8"/>
  <c r="I10" i="8"/>
  <c r="L20" i="10"/>
  <c r="A34" i="10"/>
  <c r="A49" i="10"/>
  <c r="B42" i="10"/>
  <c r="A26" i="10"/>
  <c r="A9" i="10"/>
  <c r="I58" i="8"/>
  <c r="I47" i="8"/>
  <c r="I35" i="8"/>
  <c r="I21" i="8"/>
  <c r="I9" i="8"/>
  <c r="B54" i="10"/>
  <c r="B34" i="10"/>
  <c r="I61" i="8"/>
  <c r="BK52" i="10"/>
  <c r="I46" i="8"/>
  <c r="I20" i="8"/>
  <c r="I8" i="8"/>
  <c r="A54" i="10"/>
  <c r="B10" i="10"/>
  <c r="A53" i="10"/>
  <c r="J48" i="10"/>
  <c r="L48" i="10" s="1"/>
  <c r="A33" i="10"/>
  <c r="J25" i="10"/>
  <c r="L25" i="10" s="1"/>
  <c r="J8" i="10"/>
  <c r="L8" i="10" s="1"/>
  <c r="I57" i="8"/>
  <c r="I45" i="8"/>
  <c r="I34" i="8"/>
  <c r="I19" i="8"/>
  <c r="I7" i="8"/>
  <c r="A13" i="10"/>
  <c r="B46" i="10"/>
  <c r="I32" i="10"/>
  <c r="L32" i="10" s="1"/>
  <c r="B30" i="10"/>
  <c r="I13" i="10"/>
  <c r="L13" i="10" s="1"/>
  <c r="B6" i="10"/>
  <c r="BK55" i="10"/>
  <c r="BK7" i="10"/>
  <c r="I5" i="8"/>
  <c r="I56" i="8"/>
  <c r="I44" i="8"/>
  <c r="I33" i="8"/>
  <c r="I25" i="8"/>
  <c r="I18" i="8"/>
  <c r="I6" i="8"/>
  <c r="BK12" i="10"/>
  <c r="BK24" i="10"/>
  <c r="BK9" i="10"/>
  <c r="BK28" i="10"/>
  <c r="BK41" i="10"/>
  <c r="BK16" i="10"/>
  <c r="BK5" i="10"/>
  <c r="BK36" i="10"/>
  <c r="BK42" i="10"/>
  <c r="BK20" i="10"/>
  <c r="BK17" i="10"/>
  <c r="J41" i="10"/>
  <c r="L41" i="10" s="1"/>
  <c r="J12" i="10"/>
  <c r="L12" i="10" s="1"/>
  <c r="J16" i="10"/>
  <c r="L16" i="10" s="1"/>
  <c r="J4" i="10"/>
  <c r="L4" i="10" s="1"/>
  <c r="J28" i="10"/>
  <c r="L28" i="10" s="1"/>
  <c r="J9" i="10"/>
  <c r="L9" i="10" s="1"/>
  <c r="B11" i="10"/>
  <c r="B7" i="10"/>
  <c r="A55" i="10"/>
  <c r="A51" i="10"/>
  <c r="A47" i="10"/>
  <c r="A43" i="10"/>
  <c r="A39" i="10"/>
  <c r="A35" i="10"/>
  <c r="A23" i="10"/>
  <c r="A19" i="10"/>
  <c r="A15" i="10"/>
  <c r="B56" i="10"/>
  <c r="J54" i="10"/>
  <c r="L54" i="10" s="1"/>
  <c r="B52" i="10"/>
  <c r="J50" i="10"/>
  <c r="L50" i="10" s="1"/>
  <c r="B48" i="10"/>
  <c r="J46" i="10"/>
  <c r="L46" i="10" s="1"/>
  <c r="B44" i="10"/>
  <c r="J42" i="10"/>
  <c r="L42" i="10" s="1"/>
  <c r="B40" i="10"/>
  <c r="J38" i="10"/>
  <c r="L38" i="10" s="1"/>
  <c r="B36" i="10"/>
  <c r="J34" i="10"/>
  <c r="L34" i="10" s="1"/>
  <c r="B32" i="10"/>
  <c r="J30" i="10"/>
  <c r="L30" i="10" s="1"/>
  <c r="B28" i="10"/>
  <c r="J26" i="10"/>
  <c r="L26" i="10" s="1"/>
  <c r="B24" i="10"/>
  <c r="J22" i="10"/>
  <c r="L22" i="10" s="1"/>
  <c r="B20" i="10"/>
  <c r="J18" i="10"/>
  <c r="L18" i="10" s="1"/>
  <c r="B16" i="10"/>
  <c r="J14" i="10"/>
  <c r="L14" i="10" s="1"/>
  <c r="B12" i="10"/>
  <c r="J10" i="10"/>
  <c r="L10" i="10" s="1"/>
  <c r="B8" i="10"/>
  <c r="J6" i="10"/>
  <c r="L6" i="10" s="1"/>
  <c r="B31" i="10"/>
  <c r="B27" i="10"/>
  <c r="J55" i="10"/>
  <c r="L55" i="10" s="1"/>
  <c r="J51" i="10"/>
  <c r="L51" i="10" s="1"/>
  <c r="J47" i="10"/>
  <c r="L47" i="10" s="1"/>
  <c r="J43" i="10"/>
  <c r="L43" i="10" s="1"/>
  <c r="J39" i="10"/>
  <c r="L39" i="10" s="1"/>
  <c r="J35" i="10"/>
  <c r="L35" i="10" s="1"/>
  <c r="J31" i="10"/>
  <c r="L31" i="10" s="1"/>
  <c r="J27" i="10"/>
  <c r="L27" i="10" s="1"/>
  <c r="J23" i="10"/>
  <c r="L23" i="10" s="1"/>
  <c r="J19" i="10"/>
  <c r="L19" i="10" s="1"/>
  <c r="J15" i="10"/>
  <c r="L15" i="10" s="1"/>
  <c r="J11" i="10"/>
  <c r="L11" i="10" s="1"/>
  <c r="J7" i="10"/>
  <c r="L7" i="10" s="1"/>
  <c r="A4" i="10"/>
  <c r="B4" i="10"/>
  <c r="M96" i="8"/>
  <c r="M97" i="8"/>
  <c r="L56" i="10" l="1"/>
  <c r="BK45" i="10"/>
  <c r="BK32" i="10"/>
  <c r="BK13" i="10"/>
  <c r="J32" i="7"/>
  <c r="J33" i="7"/>
  <c r="M23" i="8" l="1"/>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5" i="8"/>
  <c r="M6" i="8"/>
  <c r="M7" i="8"/>
  <c r="M8" i="8"/>
  <c r="M9" i="8"/>
  <c r="M10" i="8"/>
  <c r="M11" i="8"/>
  <c r="M12" i="8"/>
  <c r="M13" i="8"/>
  <c r="M14" i="8"/>
  <c r="M15" i="8"/>
  <c r="M16" i="8"/>
  <c r="M17" i="8"/>
  <c r="M18" i="8"/>
  <c r="M19" i="8"/>
  <c r="M20" i="8"/>
  <c r="M21" i="8"/>
  <c r="M22" i="8"/>
  <c r="J31" i="7"/>
  <c r="J30" i="7"/>
  <c r="J29" i="7"/>
  <c r="J28" i="7"/>
  <c r="J27" i="7"/>
  <c r="J26" i="7"/>
  <c r="J25" i="7"/>
  <c r="J24" i="7"/>
  <c r="J23" i="7"/>
  <c r="J22" i="7"/>
  <c r="J21" i="7"/>
  <c r="BO4" i="7" l="1"/>
  <c r="BO5" i="7"/>
  <c r="BO6" i="7"/>
  <c r="BO7" i="7"/>
  <c r="BO8" i="7"/>
  <c r="BO9" i="7"/>
  <c r="BO10" i="7"/>
  <c r="BO11" i="7"/>
  <c r="BO12" i="7"/>
  <c r="BO13" i="7"/>
  <c r="BO14" i="7"/>
  <c r="BO15" i="7"/>
  <c r="BO16" i="7"/>
  <c r="BO17" i="7"/>
  <c r="BO18" i="7"/>
  <c r="BO19" i="7"/>
  <c r="BO20" i="7"/>
  <c r="BO21" i="7"/>
  <c r="BO22" i="7"/>
  <c r="BO23" i="7"/>
  <c r="BO24" i="7"/>
  <c r="BO25" i="7"/>
  <c r="BO26" i="7"/>
  <c r="BO27" i="7"/>
  <c r="BO28" i="7"/>
  <c r="BO29" i="7"/>
  <c r="BO30" i="7"/>
  <c r="BO31" i="7"/>
  <c r="BO32" i="7"/>
  <c r="BO33" i="7"/>
  <c r="BO34" i="7"/>
  <c r="BO35" i="7"/>
  <c r="BO36" i="7"/>
  <c r="BO37" i="7"/>
  <c r="BO38" i="7"/>
  <c r="BO39" i="7"/>
  <c r="BO40" i="7"/>
  <c r="BO41" i="7"/>
  <c r="BO42" i="7"/>
  <c r="BO43" i="7"/>
  <c r="BO44" i="7"/>
  <c r="BO45" i="7"/>
  <c r="BO46" i="7"/>
  <c r="BO47" i="7"/>
  <c r="BO48" i="7"/>
  <c r="BO49" i="7"/>
  <c r="BO50" i="7"/>
  <c r="BO51" i="7"/>
  <c r="AZ36" i="7" l="1"/>
  <c r="AL36" i="7"/>
  <c r="AL50" i="7"/>
  <c r="AZ11" i="7"/>
  <c r="AZ18" i="7"/>
  <c r="AL18" i="7"/>
  <c r="AL31" i="7"/>
  <c r="AZ19" i="7"/>
  <c r="AL21" i="7"/>
  <c r="AZ31" i="7"/>
  <c r="AL30" i="7"/>
  <c r="AZ24" i="7"/>
  <c r="AL17" i="7"/>
  <c r="AL7" i="7"/>
  <c r="AZ17" i="7"/>
  <c r="AL47" i="7"/>
  <c r="AZ48" i="7"/>
  <c r="AL48" i="7"/>
  <c r="AZ41" i="7"/>
  <c r="AL41" i="7"/>
  <c r="AL40" i="7"/>
  <c r="AZ40" i="7"/>
  <c r="AZ51" i="7"/>
  <c r="AL49" i="7"/>
  <c r="AZ49" i="7"/>
  <c r="AL42" i="7"/>
  <c r="AZ42" i="7"/>
  <c r="AZ34" i="7"/>
  <c r="AL34" i="7"/>
  <c r="AL29" i="7"/>
  <c r="AZ29" i="7"/>
  <c r="AZ46" i="7"/>
  <c r="AZ30" i="7"/>
  <c r="AL44" i="7"/>
  <c r="AZ45" i="7"/>
  <c r="AL39" i="7"/>
  <c r="AL9" i="7"/>
  <c r="AZ9" i="7"/>
  <c r="AL45" i="7"/>
  <c r="AZ25" i="7"/>
  <c r="AL25" i="7"/>
  <c r="AL33" i="7"/>
  <c r="AZ33" i="7"/>
  <c r="AZ4" i="7"/>
  <c r="AZ44" i="7"/>
  <c r="AL37" i="7"/>
  <c r="AZ37" i="7"/>
  <c r="AZ35" i="7"/>
  <c r="AZ14" i="7"/>
  <c r="AL27" i="7"/>
  <c r="AZ27" i="7"/>
  <c r="AZ20" i="7"/>
  <c r="AL20" i="7"/>
  <c r="AZ50" i="7"/>
  <c r="AZ38" i="7"/>
  <c r="AL38" i="7"/>
  <c r="AL35" i="7"/>
  <c r="AZ16" i="7"/>
  <c r="AZ47" i="7"/>
  <c r="AL19" i="7"/>
  <c r="AL8" i="7"/>
  <c r="AZ8" i="7"/>
  <c r="AZ7" i="7"/>
  <c r="AZ26" i="7"/>
  <c r="AZ23" i="7"/>
  <c r="AL23" i="7"/>
  <c r="AL28" i="7"/>
  <c r="AL26" i="7"/>
  <c r="AZ21" i="7"/>
  <c r="AZ39" i="7"/>
  <c r="AZ28" i="7"/>
  <c r="AZ13" i="7"/>
  <c r="AL14" i="7"/>
  <c r="AL13" i="7"/>
  <c r="AL12" i="7"/>
  <c r="AZ43" i="7"/>
  <c r="AL43" i="7"/>
  <c r="AL24" i="7"/>
  <c r="AZ12" i="7"/>
  <c r="AL10" i="7"/>
  <c r="AZ10" i="7"/>
  <c r="AL11" i="7"/>
  <c r="AL46" i="7"/>
  <c r="AZ32" i="7"/>
  <c r="AL32" i="7"/>
  <c r="AL22" i="7"/>
  <c r="AZ22" i="7"/>
  <c r="AZ6" i="7"/>
  <c r="AL6" i="7"/>
  <c r="AL51" i="7"/>
  <c r="AL5" i="7"/>
  <c r="AL15" i="7"/>
  <c r="AZ15" i="7"/>
  <c r="AZ5" i="7"/>
  <c r="AL4" i="7"/>
  <c r="AL16" i="7"/>
  <c r="BC56" i="10" l="1"/>
  <c r="BC55" i="10"/>
  <c r="BC54" i="10"/>
  <c r="BC53" i="10"/>
  <c r="BC52" i="10"/>
  <c r="BC51" i="10"/>
  <c r="BC50" i="10"/>
  <c r="BC49" i="10"/>
  <c r="BC48" i="10"/>
  <c r="BC47" i="10"/>
  <c r="BC46" i="10"/>
  <c r="BC45" i="10"/>
  <c r="BC44" i="10"/>
  <c r="BC43" i="10"/>
  <c r="BC42" i="10"/>
  <c r="BC41" i="10"/>
  <c r="BC40" i="10"/>
  <c r="BC39" i="10"/>
  <c r="BC38" i="10"/>
  <c r="BC37" i="10"/>
  <c r="BC36" i="10"/>
  <c r="BC35" i="10"/>
  <c r="BC34" i="10"/>
  <c r="BC33" i="10"/>
  <c r="BC32" i="10"/>
  <c r="BC31" i="10"/>
  <c r="BC30" i="10"/>
  <c r="BC29" i="10"/>
  <c r="BC28" i="10"/>
  <c r="BC27" i="10"/>
  <c r="BC26" i="10"/>
  <c r="BC25" i="10"/>
  <c r="BC24" i="10"/>
  <c r="BC23" i="10"/>
  <c r="BC22" i="10"/>
  <c r="BC21" i="10"/>
  <c r="BC20" i="10"/>
  <c r="BC19" i="10"/>
  <c r="BC18" i="10"/>
  <c r="BC17" i="10"/>
  <c r="BC16" i="10"/>
  <c r="BC15" i="10"/>
  <c r="BC14" i="10"/>
  <c r="BC13" i="10"/>
  <c r="BC12" i="10"/>
  <c r="BC11" i="10"/>
  <c r="BC10" i="10"/>
  <c r="BC9" i="10"/>
  <c r="BC8" i="10"/>
  <c r="BC7" i="10"/>
  <c r="BC6" i="10"/>
  <c r="BC5" i="10"/>
  <c r="BC4" i="10"/>
  <c r="AO56" i="10"/>
  <c r="AO55" i="10"/>
  <c r="AO54" i="10"/>
  <c r="AO53" i="10"/>
  <c r="AO52" i="10"/>
  <c r="AO51" i="10"/>
  <c r="AO50" i="10"/>
  <c r="AO49" i="10"/>
  <c r="AO48" i="10"/>
  <c r="AO47" i="10"/>
  <c r="AO46" i="10"/>
  <c r="AO45" i="10"/>
  <c r="AO44" i="10"/>
  <c r="AO43" i="10"/>
  <c r="AO42" i="10"/>
  <c r="AO41" i="10"/>
  <c r="AO40" i="10"/>
  <c r="AO39" i="10"/>
  <c r="AO38" i="10"/>
  <c r="AO37" i="10"/>
  <c r="AO36" i="10"/>
  <c r="AO35" i="10"/>
  <c r="AO34" i="10"/>
  <c r="AO33" i="10"/>
  <c r="AO32" i="10"/>
  <c r="AO31" i="10"/>
  <c r="AO30" i="10"/>
  <c r="AO29" i="10"/>
  <c r="AO28" i="10"/>
  <c r="AO27" i="10"/>
  <c r="AO26" i="10"/>
  <c r="AO25" i="10"/>
  <c r="AO24" i="10"/>
  <c r="AO23" i="10"/>
  <c r="AO22" i="10"/>
  <c r="AO21" i="10"/>
  <c r="AO20" i="10"/>
  <c r="AO19" i="10"/>
  <c r="AO18" i="10"/>
  <c r="AO17" i="10"/>
  <c r="AO16" i="10"/>
  <c r="AO15" i="10"/>
  <c r="AO14" i="10"/>
  <c r="AO13" i="10"/>
  <c r="AO12" i="10"/>
  <c r="AO11" i="10"/>
  <c r="AO10" i="10"/>
  <c r="AO9" i="10"/>
  <c r="AO8" i="10"/>
  <c r="AO7" i="10"/>
  <c r="AO6" i="10"/>
  <c r="AO5" i="10"/>
  <c r="AO4" i="10"/>
  <c r="J20" i="7" l="1"/>
  <c r="J19" i="7"/>
  <c r="J18" i="7"/>
  <c r="J17" i="7"/>
  <c r="J16" i="7"/>
  <c r="J15" i="7"/>
  <c r="J14" i="7"/>
  <c r="J13" i="7"/>
  <c r="J12" i="7"/>
  <c r="J11" i="7"/>
  <c r="J10" i="7"/>
  <c r="J9" i="7"/>
  <c r="J8" i="7"/>
  <c r="J7" i="7"/>
  <c r="J6" i="7"/>
  <c r="J5" i="7"/>
  <c r="J4" i="7"/>
  <c r="BD16" i="7" l="1"/>
  <c r="BD15" i="7"/>
  <c r="BD19" i="7"/>
  <c r="BD17" i="7"/>
  <c r="BD18" i="7"/>
  <c r="AA56" i="10" l="1"/>
  <c r="BM56" i="10" s="1"/>
  <c r="AA55" i="10"/>
  <c r="BM55" i="10" s="1"/>
  <c r="AA54" i="10"/>
  <c r="BM54" i="10" s="1"/>
  <c r="AA53" i="10"/>
  <c r="BM53" i="10" s="1"/>
  <c r="AA52" i="10"/>
  <c r="BM52" i="10" s="1"/>
  <c r="AA51" i="10"/>
  <c r="BM51" i="10" s="1"/>
  <c r="AA50" i="10"/>
  <c r="BM50" i="10" s="1"/>
  <c r="AA49" i="10"/>
  <c r="BM49" i="10" s="1"/>
  <c r="AA48" i="10"/>
  <c r="BM48" i="10" s="1"/>
  <c r="AA47" i="10"/>
  <c r="BM47" i="10" s="1"/>
  <c r="AA46" i="10"/>
  <c r="BM46" i="10" s="1"/>
  <c r="AA45" i="10"/>
  <c r="BM45" i="10" s="1"/>
  <c r="AA44" i="10"/>
  <c r="BM44" i="10" s="1"/>
  <c r="AA43" i="10"/>
  <c r="BM43" i="10" s="1"/>
  <c r="AA42" i="10"/>
  <c r="BM42" i="10" s="1"/>
  <c r="AA41" i="10"/>
  <c r="BM41" i="10" s="1"/>
  <c r="AA40" i="10"/>
  <c r="BM40" i="10" s="1"/>
  <c r="AA39" i="10"/>
  <c r="BM39" i="10" s="1"/>
  <c r="AA38" i="10"/>
  <c r="BM38" i="10" s="1"/>
  <c r="AA37" i="10"/>
  <c r="BM37" i="10" s="1"/>
  <c r="AA36" i="10"/>
  <c r="BM36" i="10" s="1"/>
  <c r="AA35" i="10"/>
  <c r="BM35" i="10" s="1"/>
  <c r="AA34" i="10"/>
  <c r="BM34" i="10" s="1"/>
  <c r="AA33" i="10"/>
  <c r="BM33" i="10" s="1"/>
  <c r="AA32" i="10"/>
  <c r="BM32" i="10" s="1"/>
  <c r="AA31" i="10"/>
  <c r="BM31" i="10" s="1"/>
  <c r="AA30" i="10"/>
  <c r="BM30" i="10" s="1"/>
  <c r="AA29" i="10"/>
  <c r="BM29" i="10" s="1"/>
  <c r="AA28" i="10"/>
  <c r="BM28" i="10" s="1"/>
  <c r="AA27" i="10"/>
  <c r="BM27" i="10" s="1"/>
  <c r="AA26" i="10"/>
  <c r="BM26" i="10" s="1"/>
  <c r="A4" i="7" l="1"/>
  <c r="E4"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M101" i="8"/>
  <c r="M100" i="8"/>
  <c r="M99" i="8"/>
  <c r="M98" i="8"/>
  <c r="M95" i="8"/>
  <c r="M94" i="8"/>
  <c r="M93" i="8"/>
  <c r="M92" i="8"/>
  <c r="M91" i="8"/>
  <c r="M90" i="8"/>
  <c r="M89" i="8"/>
  <c r="M88" i="8"/>
  <c r="M87" i="8"/>
  <c r="M86" i="8"/>
  <c r="M85" i="8"/>
  <c r="M84" i="8"/>
  <c r="M83" i="8"/>
  <c r="M82" i="8"/>
  <c r="M81" i="8"/>
  <c r="M80" i="8"/>
  <c r="M4" i="8"/>
  <c r="BD37" i="7" l="1"/>
  <c r="BD40" i="7"/>
  <c r="BD48" i="7"/>
  <c r="BD50" i="7"/>
  <c r="BD51" i="7"/>
  <c r="BD43" i="7"/>
  <c r="BD39" i="7"/>
  <c r="BD41" i="7"/>
  <c r="BD42" i="7"/>
  <c r="BD44" i="7"/>
  <c r="BD49" i="7"/>
  <c r="BD38" i="7"/>
  <c r="BD45" i="7"/>
  <c r="BD36" i="7"/>
  <c r="BD34" i="7"/>
  <c r="BD46" i="7"/>
  <c r="BD35" i="7"/>
  <c r="BD47" i="7"/>
  <c r="BD33" i="7"/>
  <c r="BD29" i="7"/>
  <c r="BD20" i="7"/>
  <c r="BD21" i="7"/>
  <c r="BD22" i="7"/>
  <c r="BD30" i="7"/>
  <c r="BD23" i="7"/>
  <c r="BD24" i="7"/>
  <c r="BD25" i="7"/>
  <c r="BD4" i="7"/>
  <c r="BD26" i="7"/>
  <c r="BD32" i="7"/>
  <c r="BD5" i="7"/>
  <c r="BD27" i="7"/>
  <c r="BD31" i="7"/>
  <c r="BD28" i="7"/>
  <c r="AA25" i="10"/>
  <c r="BM25" i="10" s="1"/>
  <c r="AA24" i="10"/>
  <c r="BM24" i="10" s="1"/>
  <c r="AA23" i="10"/>
  <c r="BM23" i="10" s="1"/>
  <c r="AA22" i="10"/>
  <c r="BM22" i="10" s="1"/>
  <c r="AA21" i="10"/>
  <c r="BM21" i="10" s="1"/>
  <c r="AA20" i="10"/>
  <c r="BM20" i="10" s="1"/>
  <c r="AA19" i="10"/>
  <c r="BM19" i="10" s="1"/>
  <c r="AA18" i="10"/>
  <c r="BM18" i="10" s="1"/>
  <c r="AA17" i="10"/>
  <c r="BM17" i="10" s="1"/>
  <c r="AA16" i="10"/>
  <c r="BM16" i="10" s="1"/>
  <c r="AA15" i="10"/>
  <c r="BM15" i="10" s="1"/>
  <c r="AA14" i="10"/>
  <c r="BM14" i="10" s="1"/>
  <c r="AA13" i="10"/>
  <c r="BM13" i="10" s="1"/>
  <c r="AA12" i="10"/>
  <c r="BM12" i="10" s="1"/>
  <c r="AA11" i="10"/>
  <c r="BM11" i="10" s="1"/>
  <c r="AA10" i="10"/>
  <c r="BM10" i="10" s="1"/>
  <c r="AA9" i="10"/>
  <c r="BM9" i="10" s="1"/>
  <c r="AA8" i="10"/>
  <c r="BM8" i="10" s="1"/>
  <c r="AA7" i="10"/>
  <c r="BM7" i="10" s="1"/>
  <c r="AA6" i="10"/>
  <c r="BM6" i="10" s="1"/>
  <c r="AA5" i="10"/>
  <c r="BM5" i="10" s="1"/>
  <c r="AA4" i="10"/>
  <c r="BM4" i="10" s="1"/>
  <c r="BD9" i="7" l="1"/>
  <c r="BD14" i="7"/>
  <c r="BD7" i="7"/>
  <c r="BD6" i="7"/>
  <c r="BD12" i="7"/>
  <c r="BD8" i="7"/>
  <c r="BD10" i="7"/>
  <c r="BD13" i="7"/>
  <c r="BD11" i="7"/>
  <c r="BK4" i="10" l="1"/>
  <c r="A1" i="8" l="1"/>
  <c r="X6" i="7"/>
  <c r="X7" i="7"/>
  <c r="X5" i="7"/>
  <c r="X4" i="7"/>
  <c r="BA4" i="7" l="1"/>
  <c r="BC4" i="7"/>
  <c r="BC5" i="7"/>
  <c r="BA5" i="7"/>
  <c r="BA7" i="7"/>
  <c r="BC7" i="7"/>
  <c r="BA6" i="7"/>
  <c r="BC6" i="7"/>
  <c r="F4" i="7" l="1"/>
  <c r="G4" i="7" s="1"/>
  <c r="X51" i="7"/>
  <c r="H51" i="7"/>
  <c r="I51" i="7" s="1"/>
  <c r="F51" i="7"/>
  <c r="X50" i="7"/>
  <c r="H50" i="7"/>
  <c r="I50" i="7" s="1"/>
  <c r="F50" i="7"/>
  <c r="X49" i="7"/>
  <c r="H49" i="7"/>
  <c r="I49" i="7" s="1"/>
  <c r="F49" i="7"/>
  <c r="X48" i="7"/>
  <c r="H48" i="7"/>
  <c r="I48" i="7" s="1"/>
  <c r="F48" i="7"/>
  <c r="X47" i="7"/>
  <c r="H47" i="7"/>
  <c r="I47" i="7" s="1"/>
  <c r="F47" i="7"/>
  <c r="X46" i="7"/>
  <c r="H46" i="7"/>
  <c r="I46" i="7" s="1"/>
  <c r="F46" i="7"/>
  <c r="X45" i="7"/>
  <c r="H45" i="7"/>
  <c r="I45" i="7" s="1"/>
  <c r="F45" i="7"/>
  <c r="X44" i="7"/>
  <c r="H44" i="7"/>
  <c r="I44" i="7" s="1"/>
  <c r="F44" i="7"/>
  <c r="X43" i="7"/>
  <c r="H43" i="7"/>
  <c r="I43" i="7" s="1"/>
  <c r="F43" i="7"/>
  <c r="X42" i="7"/>
  <c r="H42" i="7"/>
  <c r="I42" i="7" s="1"/>
  <c r="F42" i="7"/>
  <c r="X41" i="7"/>
  <c r="H41" i="7"/>
  <c r="I41" i="7" s="1"/>
  <c r="F41" i="7"/>
  <c r="X40" i="7"/>
  <c r="H40" i="7"/>
  <c r="I40" i="7" s="1"/>
  <c r="F40" i="7"/>
  <c r="X39" i="7"/>
  <c r="H39" i="7"/>
  <c r="I39" i="7" s="1"/>
  <c r="F39" i="7"/>
  <c r="X38" i="7"/>
  <c r="H38" i="7"/>
  <c r="I38" i="7" s="1"/>
  <c r="F38" i="7"/>
  <c r="X37" i="7"/>
  <c r="H37" i="7"/>
  <c r="I37" i="7" s="1"/>
  <c r="F37" i="7"/>
  <c r="X36" i="7"/>
  <c r="H36" i="7"/>
  <c r="I36" i="7" s="1"/>
  <c r="F36" i="7"/>
  <c r="X35" i="7"/>
  <c r="I35" i="7"/>
  <c r="F35" i="7"/>
  <c r="G35" i="7" s="1"/>
  <c r="X34" i="7"/>
  <c r="I34" i="7"/>
  <c r="F34" i="7"/>
  <c r="G34" i="7" s="1"/>
  <c r="X33" i="7"/>
  <c r="H33" i="7"/>
  <c r="I33" i="7" s="1"/>
  <c r="F33" i="7"/>
  <c r="G33" i="7" s="1"/>
  <c r="X32" i="7"/>
  <c r="H32" i="7"/>
  <c r="I32" i="7" s="1"/>
  <c r="F32" i="7"/>
  <c r="G32" i="7" s="1"/>
  <c r="X31" i="7"/>
  <c r="H31" i="7"/>
  <c r="I31" i="7" s="1"/>
  <c r="F31" i="7"/>
  <c r="G31" i="7" s="1"/>
  <c r="X30" i="7"/>
  <c r="H30" i="7"/>
  <c r="I30" i="7" s="1"/>
  <c r="F30" i="7"/>
  <c r="G30" i="7" s="1"/>
  <c r="X29" i="7"/>
  <c r="H29" i="7"/>
  <c r="I29" i="7" s="1"/>
  <c r="F29" i="7"/>
  <c r="G29" i="7" s="1"/>
  <c r="X28" i="7"/>
  <c r="H28" i="7"/>
  <c r="I28" i="7" s="1"/>
  <c r="F28" i="7"/>
  <c r="G28" i="7" s="1"/>
  <c r="X27" i="7"/>
  <c r="H27" i="7"/>
  <c r="I27" i="7" s="1"/>
  <c r="F27" i="7"/>
  <c r="G27" i="7" s="1"/>
  <c r="X26" i="7"/>
  <c r="H26" i="7"/>
  <c r="I26" i="7" s="1"/>
  <c r="F26" i="7"/>
  <c r="G26" i="7" s="1"/>
  <c r="X25" i="7"/>
  <c r="H25" i="7"/>
  <c r="I25" i="7" s="1"/>
  <c r="F25" i="7"/>
  <c r="G25" i="7" s="1"/>
  <c r="X24" i="7"/>
  <c r="H24" i="7"/>
  <c r="I24" i="7" s="1"/>
  <c r="F24" i="7"/>
  <c r="G24" i="7" s="1"/>
  <c r="X23" i="7"/>
  <c r="H23" i="7"/>
  <c r="I23" i="7" s="1"/>
  <c r="F23" i="7"/>
  <c r="G23" i="7" s="1"/>
  <c r="X22" i="7"/>
  <c r="H22" i="7"/>
  <c r="I22" i="7" s="1"/>
  <c r="F22" i="7"/>
  <c r="G22" i="7" s="1"/>
  <c r="X21" i="7"/>
  <c r="H21" i="7"/>
  <c r="I21" i="7" s="1"/>
  <c r="F21" i="7"/>
  <c r="G21" i="7" s="1"/>
  <c r="X20" i="7"/>
  <c r="H20" i="7"/>
  <c r="I20" i="7" s="1"/>
  <c r="F20" i="7"/>
  <c r="G20" i="7" s="1"/>
  <c r="X19" i="7"/>
  <c r="H19" i="7"/>
  <c r="I19" i="7" s="1"/>
  <c r="F19" i="7"/>
  <c r="G19" i="7" s="1"/>
  <c r="X18" i="7"/>
  <c r="H18" i="7"/>
  <c r="I18" i="7" s="1"/>
  <c r="F18" i="7"/>
  <c r="G18" i="7" s="1"/>
  <c r="X17" i="7"/>
  <c r="H17" i="7"/>
  <c r="I17" i="7" s="1"/>
  <c r="F17" i="7"/>
  <c r="G17" i="7" s="1"/>
  <c r="X16" i="7"/>
  <c r="H16" i="7"/>
  <c r="I16" i="7" s="1"/>
  <c r="F16" i="7"/>
  <c r="G16" i="7" s="1"/>
  <c r="X15" i="7"/>
  <c r="H15" i="7"/>
  <c r="I15" i="7" s="1"/>
  <c r="F15" i="7"/>
  <c r="G15" i="7" s="1"/>
  <c r="X14" i="7"/>
  <c r="H14" i="7"/>
  <c r="I14" i="7" s="1"/>
  <c r="F14" i="7"/>
  <c r="G14" i="7" s="1"/>
  <c r="X13" i="7"/>
  <c r="H13" i="7"/>
  <c r="I13" i="7" s="1"/>
  <c r="F13" i="7"/>
  <c r="G13" i="7" s="1"/>
  <c r="X12" i="7"/>
  <c r="H12" i="7"/>
  <c r="I12" i="7" s="1"/>
  <c r="F12" i="7"/>
  <c r="G12" i="7" s="1"/>
  <c r="X11" i="7"/>
  <c r="H11" i="7"/>
  <c r="I11" i="7" s="1"/>
  <c r="F11" i="7"/>
  <c r="G11" i="7" s="1"/>
  <c r="X10" i="7"/>
  <c r="X9" i="7"/>
  <c r="X8" i="7"/>
  <c r="H10" i="7"/>
  <c r="I10" i="7" s="1"/>
  <c r="H9" i="7"/>
  <c r="I9" i="7" s="1"/>
  <c r="H8" i="7"/>
  <c r="I8" i="7" s="1"/>
  <c r="H7" i="7"/>
  <c r="I7" i="7" s="1"/>
  <c r="H6" i="7"/>
  <c r="I6" i="7" s="1"/>
  <c r="H5" i="7"/>
  <c r="I5" i="7" s="1"/>
  <c r="H4" i="7"/>
  <c r="I4" i="7" s="1"/>
  <c r="F10" i="7"/>
  <c r="G10" i="7" s="1"/>
  <c r="F5" i="7"/>
  <c r="G5" i="7" s="1"/>
  <c r="F6" i="7"/>
  <c r="G6" i="7" s="1"/>
  <c r="F7" i="7"/>
  <c r="G7" i="7" s="1"/>
  <c r="F8" i="7"/>
  <c r="G8" i="7" s="1"/>
  <c r="F9" i="7"/>
  <c r="G9" i="7" s="1"/>
  <c r="B26" i="7" l="1"/>
  <c r="B6" i="7"/>
  <c r="B9" i="7"/>
  <c r="B8" i="7"/>
  <c r="B30" i="7"/>
  <c r="B7" i="7"/>
  <c r="B5" i="7"/>
  <c r="B11" i="7"/>
  <c r="B15" i="7"/>
  <c r="B31" i="7"/>
  <c r="B10" i="7"/>
  <c r="BR4" i="7"/>
  <c r="BT4" i="7"/>
  <c r="B27" i="7"/>
  <c r="B12" i="7"/>
  <c r="B24" i="7"/>
  <c r="B28" i="7"/>
  <c r="B32" i="7"/>
  <c r="B22" i="7"/>
  <c r="B23" i="7"/>
  <c r="B16" i="7"/>
  <c r="B14" i="7"/>
  <c r="B19" i="7"/>
  <c r="B20" i="7"/>
  <c r="B18" i="7"/>
  <c r="B13" i="7"/>
  <c r="B17" i="7"/>
  <c r="B21" i="7"/>
  <c r="B25" i="7"/>
  <c r="B29" i="7"/>
  <c r="B33" i="7"/>
  <c r="BS4" i="7"/>
  <c r="B4" i="7"/>
  <c r="BA33" i="7"/>
  <c r="BC33" i="7"/>
  <c r="BC34" i="7"/>
  <c r="BA34" i="7"/>
  <c r="BA41" i="7"/>
  <c r="BC41" i="7"/>
  <c r="BA19" i="7"/>
  <c r="BC19" i="7"/>
  <c r="BA42" i="7"/>
  <c r="BC42" i="7"/>
  <c r="BA10" i="7"/>
  <c r="BC10" i="7"/>
  <c r="BA22" i="7"/>
  <c r="BC22" i="7"/>
  <c r="BA45" i="7"/>
  <c r="BC45" i="7"/>
  <c r="BA30" i="7"/>
  <c r="BC30" i="7"/>
  <c r="BA12" i="7"/>
  <c r="BC12" i="7"/>
  <c r="BA16" i="7"/>
  <c r="BC16" i="7"/>
  <c r="BA20" i="7"/>
  <c r="BC20" i="7"/>
  <c r="BA24" i="7"/>
  <c r="BC24" i="7"/>
  <c r="BA28" i="7"/>
  <c r="BC28" i="7"/>
  <c r="BA32" i="7"/>
  <c r="BC32" i="7"/>
  <c r="BA35" i="7"/>
  <c r="BC35" i="7"/>
  <c r="BA39" i="7"/>
  <c r="BC39" i="7"/>
  <c r="BA43" i="7"/>
  <c r="BC43" i="7"/>
  <c r="BA47" i="7"/>
  <c r="BC47" i="7"/>
  <c r="BA51" i="7"/>
  <c r="BC51" i="7"/>
  <c r="BA18" i="7"/>
  <c r="BC18" i="7"/>
  <c r="BA37" i="7"/>
  <c r="BC37" i="7"/>
  <c r="BA49" i="7"/>
  <c r="BC49" i="7"/>
  <c r="BA15" i="7"/>
  <c r="BC15" i="7"/>
  <c r="BA23" i="7"/>
  <c r="BC23" i="7"/>
  <c r="BA38" i="7"/>
  <c r="BC38" i="7"/>
  <c r="BA50" i="7"/>
  <c r="BC50" i="7"/>
  <c r="BA14" i="7"/>
  <c r="BC14" i="7"/>
  <c r="BA27" i="7"/>
  <c r="BC27" i="7"/>
  <c r="BA46" i="7"/>
  <c r="BC46" i="7"/>
  <c r="BA13" i="7"/>
  <c r="BC13" i="7"/>
  <c r="BA17" i="7"/>
  <c r="BC17" i="7"/>
  <c r="BA21" i="7"/>
  <c r="BC21" i="7"/>
  <c r="BA25" i="7"/>
  <c r="BC25" i="7"/>
  <c r="BA29" i="7"/>
  <c r="BC29" i="7"/>
  <c r="BA36" i="7"/>
  <c r="BC36" i="7"/>
  <c r="BA40" i="7"/>
  <c r="BC40" i="7"/>
  <c r="BA44" i="7"/>
  <c r="BC44" i="7"/>
  <c r="BA48" i="7"/>
  <c r="BC48" i="7"/>
  <c r="BA26" i="7"/>
  <c r="BC26" i="7"/>
  <c r="BC11" i="7"/>
  <c r="BA11" i="7"/>
  <c r="BA31" i="7"/>
  <c r="BC31" i="7"/>
  <c r="BA8" i="7"/>
  <c r="BC8" i="7"/>
  <c r="BA9" i="7"/>
  <c r="BC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00E91386-4A54-419A-854D-717516DB478D}">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<sst xmlns="http://schemas.openxmlformats.org/spreadsheetml/2006/main" count="3942" uniqueCount="1301">
  <si>
    <t>Petunjuk Umum</t>
  </si>
  <si>
    <t>•</t>
  </si>
  <si>
    <t>Setiap Departemen wajib menunjuk PIC anggaran (selain manager) untuk mempermudah pemberitahuan terkini terkait dengan perubahan/tambahan peraturan/kebijakan</t>
  </si>
  <si>
    <t>Petunjuk Rinci/Detail</t>
  </si>
  <si>
    <t>Terdapat 4 bagian dalam lembar kerja budget :</t>
  </si>
  <si>
    <t>- COVER</t>
  </si>
  <si>
    <t>Sheet 1 : Cover</t>
  </si>
  <si>
    <t>Cover</t>
  </si>
  <si>
    <t>Harap isi masing-masing bagian sesuai urutan dibawah.</t>
  </si>
  <si>
    <t xml:space="preserve">Year                                   </t>
  </si>
  <si>
    <t>Diisi dengan tahun perencanaan budget</t>
  </si>
  <si>
    <t>BU/HO</t>
  </si>
  <si>
    <t>Div. /Dept.</t>
  </si>
  <si>
    <t>HO</t>
  </si>
  <si>
    <t>Corp. Planning &amp; Sustainability</t>
  </si>
  <si>
    <t>Internal Audit</t>
  </si>
  <si>
    <t>HSE</t>
  </si>
  <si>
    <t>Corporate Communication</t>
  </si>
  <si>
    <t>Financial Planning &amp; Analysis</t>
  </si>
  <si>
    <t>Taxation</t>
  </si>
  <si>
    <t>Treasury &amp; Finance</t>
  </si>
  <si>
    <t>General Affairs</t>
  </si>
  <si>
    <t>Human Resources</t>
  </si>
  <si>
    <t>IT</t>
  </si>
  <si>
    <t>Strategic Sourcing &amp; Procurement</t>
  </si>
  <si>
    <t>Custom &amp; Logistic</t>
  </si>
  <si>
    <t>Warehouse &amp; Inventory</t>
  </si>
  <si>
    <t>Siapkan approval sesuai dengan approval matrix Divisi / Departement masing-masing</t>
  </si>
  <si>
    <t>Ledger SAP</t>
  </si>
  <si>
    <t>No (SAP)</t>
  </si>
  <si>
    <t>Name (SAP)</t>
  </si>
  <si>
    <t>Diisi bila department/divisi terkait mempunyai biaya operasional budget untuk periode ini.</t>
  </si>
  <si>
    <t>Cost Center</t>
  </si>
  <si>
    <t>DL Salaries &amp; Wages</t>
  </si>
  <si>
    <t>HR</t>
  </si>
  <si>
    <t>DL Overtime</t>
  </si>
  <si>
    <t>DL THR</t>
  </si>
  <si>
    <t>DL Allowances</t>
  </si>
  <si>
    <t>DL Social Security</t>
  </si>
  <si>
    <t>DL Employee Income Tax</t>
  </si>
  <si>
    <t>DL Bonus</t>
  </si>
  <si>
    <t>DL Severance Pay</t>
  </si>
  <si>
    <t>DL Others</t>
  </si>
  <si>
    <t>IDL Salaries &amp; Wages</t>
  </si>
  <si>
    <t>IDL Overtime</t>
  </si>
  <si>
    <t>IDL THR</t>
  </si>
  <si>
    <t>IDL Allowances</t>
  </si>
  <si>
    <t>IDL Social Security</t>
  </si>
  <si>
    <t>IDL Contract Employee Pay</t>
  </si>
  <si>
    <t>IDL  Incentives</t>
  </si>
  <si>
    <t>IDL Employee Income Tax</t>
  </si>
  <si>
    <t>IDL Bonus</t>
  </si>
  <si>
    <t>IDL Severance Pay</t>
  </si>
  <si>
    <t>IDL Employee Insurance</t>
  </si>
  <si>
    <t>IDL Others</t>
  </si>
  <si>
    <t>Provision for Employee Benefits</t>
  </si>
  <si>
    <t>Biaya cadangan untuk imbalan pisah karyawan pensiun.</t>
  </si>
  <si>
    <t>Outsourcing Services</t>
  </si>
  <si>
    <t>Biaya upah untuk tenaga outsourcing/pekerja harian</t>
  </si>
  <si>
    <t>GA</t>
  </si>
  <si>
    <t>Calibration Services</t>
  </si>
  <si>
    <t>Utilities - Factory Sundries</t>
  </si>
  <si>
    <t>Fuel</t>
  </si>
  <si>
    <t>RM Exp - Buidings Services</t>
  </si>
  <si>
    <t>RM Exp - Machinery and Equipment</t>
  </si>
  <si>
    <t>RM Exp - Heavy Equipment</t>
  </si>
  <si>
    <t>RM Exp - Vehicles</t>
  </si>
  <si>
    <t>RM Exp - Furniture and Fixtures</t>
  </si>
  <si>
    <t>RM Exp - Office and Other Equipment</t>
  </si>
  <si>
    <t>RM Exp - Water Treatment</t>
  </si>
  <si>
    <t>RM Exp - Low Value Asset</t>
  </si>
  <si>
    <t>AE - Advertising and Promotion Expenses</t>
  </si>
  <si>
    <t>TE - Seminar</t>
  </si>
  <si>
    <t>TE - Training</t>
  </si>
  <si>
    <t>Ins. Exp. - Insurance of Building</t>
  </si>
  <si>
    <t>Ins. Exp. - Insurance of Machinery</t>
  </si>
  <si>
    <t>Ins. Exp. - Insurance of Vehicle</t>
  </si>
  <si>
    <t>Ins. Exp. - Insurance of Public and Product Liabil</t>
  </si>
  <si>
    <t>Ins. Exp. - Insurance Others</t>
  </si>
  <si>
    <t>RE - Rental Warehouse</t>
  </si>
  <si>
    <t>RE - Rental Vehicle</t>
  </si>
  <si>
    <t>RE - Rental Land</t>
  </si>
  <si>
    <t>RE - Rental Building / Office</t>
  </si>
  <si>
    <t>RE - Rental Machinery</t>
  </si>
  <si>
    <t>RE - Rental Other</t>
  </si>
  <si>
    <t>PT Exp. - Telecommunication &amp; Internet</t>
  </si>
  <si>
    <t>PT Exp. - Postage and Courier</t>
  </si>
  <si>
    <t>PT Exp. - Stamp Duty</t>
  </si>
  <si>
    <t>PT Exp. - Others</t>
  </si>
  <si>
    <t>PF - Legal Fee</t>
  </si>
  <si>
    <t>Legal</t>
  </si>
  <si>
    <t>PF - Tax Consultan Fee</t>
  </si>
  <si>
    <t>PF - Audit Fee</t>
  </si>
  <si>
    <t>PF - Surveyor Fee</t>
  </si>
  <si>
    <t>PF - Other Professional Fees</t>
  </si>
  <si>
    <t>Ent. Exp - Sample Marketing</t>
  </si>
  <si>
    <t>Ent. Exp - Donation and Social Contribution</t>
  </si>
  <si>
    <t>Ent. Exp - Others Entertainment</t>
  </si>
  <si>
    <t>TL - Land and Property Tax</t>
  </si>
  <si>
    <t>Biaya pajak dan perijinan atas tanah.</t>
  </si>
  <si>
    <t>TL - IMB</t>
  </si>
  <si>
    <t>TL - Restribution</t>
  </si>
  <si>
    <t>Biaya pajak dan perijinan atas retribusi.</t>
  </si>
  <si>
    <t>TL - SIM, STNK</t>
  </si>
  <si>
    <t>Biaya pajak dan perijinan atas kendaraan.</t>
  </si>
  <si>
    <t>TL - Others Tax and Lisence</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</si>
  <si>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</si>
  <si>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</si>
  <si>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</si>
  <si>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</si>
  <si>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</si>
  <si>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</si>
  <si>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</si>
  <si>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</si>
  <si>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</si>
  <si>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</si>
  <si>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</si>
  <si>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Waste Removal Expenses</t>
  </si>
  <si>
    <t>Biaya (jasa dan barang) untuk pengolahan limbah pabrik.</t>
  </si>
  <si>
    <t>Household Equipment Expenses</t>
  </si>
  <si>
    <t>Factory Equipment Expenses</t>
  </si>
  <si>
    <t>Office Equipment Expenses</t>
  </si>
  <si>
    <t>Association and Membership</t>
  </si>
  <si>
    <t>Biaya iuran keanggotaan</t>
  </si>
  <si>
    <t>Subscriptions and Periodicals</t>
  </si>
  <si>
    <t>Biaya berlangganan website, majalah, dll</t>
  </si>
  <si>
    <t>Miscellaneous Expenses</t>
  </si>
  <si>
    <t>Directorate</t>
  </si>
  <si>
    <t>Sales</t>
  </si>
  <si>
    <t>Information Technology</t>
  </si>
  <si>
    <t>Finance</t>
  </si>
  <si>
    <t>Supply Chain Management</t>
  </si>
  <si>
    <t>Annual Budget</t>
  </si>
  <si>
    <t>:</t>
  </si>
  <si>
    <t>Diisi sesuai dengan Direktorat yang tertera di list.</t>
  </si>
  <si>
    <t>Board of Director</t>
  </si>
  <si>
    <t>KSO</t>
  </si>
  <si>
    <t>SCM</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</si>
  <si>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</si>
  <si>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</si>
  <si>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</si>
  <si>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</si>
  <si>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</si>
  <si>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</si>
  <si>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</si>
  <si>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</si>
  <si>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</si>
  <si>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</si>
  <si>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</si>
  <si>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</si>
  <si>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</si>
  <si>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</si>
  <si>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</si>
  <si>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</si>
  <si>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</si>
  <si>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</si>
  <si>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</si>
  <si>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</si>
  <si>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</si>
  <si>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</si>
  <si>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</si>
  <si>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</si>
  <si>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</si>
  <si>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</si>
  <si>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</si>
  <si>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</si>
  <si>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</si>
  <si>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</si>
  <si>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</si>
  <si>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</si>
  <si>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</si>
  <si>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</si>
  <si>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</si>
  <si>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</si>
  <si>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</si>
  <si>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</si>
  <si>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</si>
  <si>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</si>
  <si>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</si>
  <si>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</si>
  <si>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</si>
  <si>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</si>
  <si>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</si>
  <si>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</si>
  <si>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CORPORATE LEGAL</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</si>
  <si>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</si>
  <si>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</si>
  <si>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</si>
  <si>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</si>
  <si>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</si>
  <si>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</si>
  <si>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</si>
  <si>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</si>
  <si>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</si>
  <si>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</si>
  <si>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</si>
  <si>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</si>
  <si>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</si>
  <si>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</si>
  <si>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</si>
  <si>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</si>
  <si>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</si>
  <si>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</si>
  <si>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</si>
  <si>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</si>
  <si>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</si>
  <si>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</si>
  <si>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</si>
  <si>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</si>
  <si>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</si>
  <si>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</si>
  <si>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</si>
  <si>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SECURITY ADMIN</t>
  </si>
  <si>
    <t>LAND MANAGEMENT</t>
  </si>
  <si>
    <t>CSR</t>
  </si>
  <si>
    <t>INDUSTRY ASSOCIATION</t>
  </si>
  <si>
    <t>LICENSES &amp; PERMITS</t>
  </si>
  <si>
    <t>WEBSITE MASTER</t>
  </si>
  <si>
    <t>MEDIA REL/PRESS CONF</t>
  </si>
  <si>
    <t>PROCUREMENT</t>
  </si>
  <si>
    <t>10301SC006</t>
  </si>
  <si>
    <t>SCM INVENTORY</t>
  </si>
  <si>
    <t>10301SC007</t>
  </si>
  <si>
    <t>SCM WAREHOUSE FG</t>
  </si>
  <si>
    <t>SALES</t>
  </si>
  <si>
    <t>Cost Center Description</t>
  </si>
  <si>
    <t>Department</t>
  </si>
  <si>
    <t>Remarks</t>
  </si>
  <si>
    <t>Ledger Description</t>
  </si>
  <si>
    <t>Basis Calculation
(Price per Unit)</t>
  </si>
  <si>
    <t>Professional Fees</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</si>
  <si>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</si>
  <si>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</si>
  <si>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</si>
  <si>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</si>
  <si>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</si>
  <si>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</si>
  <si>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</si>
  <si>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</si>
  <si>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</si>
  <si>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</si>
  <si>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</si>
  <si>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</si>
  <si>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</si>
  <si>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</si>
  <si>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</si>
  <si>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</si>
  <si>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</si>
  <si>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</si>
  <si>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</si>
  <si>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</si>
  <si>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</si>
  <si>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</si>
  <si>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</si>
  <si>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</si>
  <si>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</si>
  <si>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</si>
  <si>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TL - Others Tax and License</t>
  </si>
  <si>
    <t>Gen. Transp. Freight Local</t>
  </si>
  <si>
    <t>Commission Expense</t>
  </si>
  <si>
    <t>Bank Charges</t>
  </si>
  <si>
    <t>Spareparts Consumption</t>
  </si>
  <si>
    <t>Master Activity Code 
(IO Number)</t>
  </si>
  <si>
    <t>Responsible Cost Center</t>
  </si>
  <si>
    <t>G/L Account</t>
  </si>
  <si>
    <t>Master Activity Description</t>
  </si>
  <si>
    <t>Detail Activity (Spesific detail of activity)</t>
  </si>
  <si>
    <t>Existing Master Activity</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</si>
  <si>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</si>
  <si>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</si>
  <si>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</si>
  <si>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</si>
  <si>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</si>
  <si>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</si>
  <si>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</si>
  <si>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</si>
  <si>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</si>
  <si>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</si>
  <si>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</si>
  <si>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</si>
  <si>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</si>
  <si>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</si>
  <si>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</si>
  <si>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</si>
  <si>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</si>
  <si>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</si>
  <si>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</si>
  <si>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</si>
  <si>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</si>
  <si>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</si>
  <si>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</si>
  <si>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</si>
  <si>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</si>
  <si>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</si>
  <si>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</si>
  <si>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</si>
  <si>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</si>
  <si>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</si>
  <si>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</si>
  <si>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</si>
  <si>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</si>
  <si>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</si>
  <si>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</si>
  <si>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</si>
  <si>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</si>
  <si>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</si>
  <si>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</si>
  <si>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</si>
  <si>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</si>
  <si>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</si>
  <si>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</si>
  <si>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</si>
  <si>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</si>
  <si>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</si>
  <si>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</si>
  <si>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Office Equipment</t>
  </si>
  <si>
    <t>Level of Requirement</t>
  </si>
  <si>
    <t>Type of Expense</t>
  </si>
  <si>
    <t>Supplier / Vendor</t>
  </si>
  <si>
    <t>Basis Calculation
in Original Currency</t>
  </si>
  <si>
    <t>Basis Calculation
(Unit/Qty/Freq/Month)</t>
  </si>
  <si>
    <t>GLLIST</t>
  </si>
  <si>
    <t>Budget Opex Detail</t>
  </si>
  <si>
    <t>Activity Master</t>
  </si>
  <si>
    <t>Bagian 1. Existing Master Activity</t>
  </si>
  <si>
    <t>Jika terdapat aktivitas baru yang belum mempunyai master activity.</t>
  </si>
  <si>
    <t>Master Activity Code</t>
  </si>
  <si>
    <t>Biaya yang terkait dengan pengiriman barang ke customer lokal</t>
  </si>
  <si>
    <t>Naming Check</t>
  </si>
  <si>
    <t>Reviewed by:</t>
  </si>
  <si>
    <t>(Yohanes Yamin)</t>
  </si>
  <si>
    <t>PF - Management Fee</t>
  </si>
  <si>
    <t>Sales &amp; Procurement</t>
  </si>
  <si>
    <t>Finance &amp; Accounting</t>
  </si>
  <si>
    <t>Weighbridge</t>
  </si>
  <si>
    <t>Government Relation</t>
  </si>
  <si>
    <t>Project Name / Capex Name</t>
  </si>
  <si>
    <t>Detail Activity / Project Description</t>
  </si>
  <si>
    <t>Priority</t>
  </si>
  <si>
    <t>Basis Calculation</t>
  </si>
  <si>
    <t>Estimation Start Date</t>
  </si>
  <si>
    <t>Estimation Finish Date</t>
  </si>
  <si>
    <t>10131PP001</t>
  </si>
  <si>
    <t>10131PP009</t>
  </si>
  <si>
    <t>10131PP010</t>
  </si>
  <si>
    <t>10131PS001</t>
  </si>
  <si>
    <t>10131PS002</t>
  </si>
  <si>
    <t>10131PS003</t>
  </si>
  <si>
    <t>10131PS004</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</si>
  <si>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</si>
  <si>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</si>
  <si>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</si>
  <si>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</si>
  <si>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</si>
  <si>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</si>
  <si>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</si>
  <si>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</si>
  <si>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</si>
  <si>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</si>
  <si>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</si>
  <si>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</si>
  <si>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</si>
  <si>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</si>
  <si>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</si>
  <si>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</si>
  <si>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</si>
  <si>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</si>
  <si>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</si>
  <si>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</si>
  <si>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10101PS006</t>
  </si>
  <si>
    <t>10101PS007</t>
  </si>
  <si>
    <t>10101PS008</t>
  </si>
  <si>
    <t>10103PP001</t>
  </si>
  <si>
    <t>BP1 PRODUCTION DEPT</t>
  </si>
  <si>
    <t>10103PP009</t>
  </si>
  <si>
    <t>BP1 REPAIR</t>
  </si>
  <si>
    <t>10103PP010</t>
  </si>
  <si>
    <t>BP1 ROLLER</t>
  </si>
  <si>
    <t>10103PS001</t>
  </si>
  <si>
    <t>10103PS002</t>
  </si>
  <si>
    <t>10103PS003</t>
  </si>
  <si>
    <t>10103PS004</t>
  </si>
  <si>
    <t>10103PS006</t>
  </si>
  <si>
    <t>BP1 CRANE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</si>
  <si>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</si>
  <si>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</si>
  <si>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</si>
  <si>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</si>
  <si>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</si>
  <si>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</si>
  <si>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</si>
  <si>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</si>
  <si>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</si>
  <si>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</si>
  <si>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</si>
  <si>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</si>
  <si>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</si>
  <si>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Intangible Asset - Licence</t>
  </si>
  <si>
    <t>FA - Assets Under Construction - Building</t>
  </si>
  <si>
    <t>FA - Assets Under Construction - Machinery</t>
  </si>
  <si>
    <t>FA - Assets Under Construction - Equipment</t>
  </si>
  <si>
    <t>FA - Assets Under Construction - Heavy Equipment</t>
  </si>
  <si>
    <t>FA-Assets Under Construction-Leasehold improvement</t>
  </si>
  <si>
    <t>FIXED ASSET</t>
  </si>
  <si>
    <t>GL Account</t>
  </si>
  <si>
    <t>LSM</t>
  </si>
  <si>
    <t>SMS1</t>
  </si>
  <si>
    <t>Sequence Number</t>
  </si>
  <si>
    <t>Classification</t>
  </si>
  <si>
    <t>BP</t>
  </si>
  <si>
    <t>BU</t>
  </si>
  <si>
    <t>SSC</t>
  </si>
  <si>
    <t>SU</t>
  </si>
  <si>
    <t>Diisi bila department/divisi terkait mempunyai capex/project budget untuk periode ini.</t>
  </si>
  <si>
    <t>Profit Center / Cost Center</t>
  </si>
  <si>
    <t>Expense / Nama Project</t>
  </si>
  <si>
    <t xml:space="preserve">Diisi dengan deskripsi jenis capex/project yang dibudgetkan.
 Contoh:
   - Beautification of Factory
   - Laptop
   - Plant Upgrade and Modification </t>
  </si>
  <si>
    <t>Detail Activity</t>
  </si>
  <si>
    <t>Basis perhitungan nilai assumsi untuk aktivitas project/capex terkait.</t>
  </si>
  <si>
    <t>Estimasi / target Project dimulai</t>
  </si>
  <si>
    <t xml:space="preserve">Estimasi / target Project selesai </t>
  </si>
  <si>
    <t>Table 2.1. List Ledger Capex / Project</t>
  </si>
  <si>
    <t>FA-Assets Under Construction - Intangible Asset</t>
  </si>
  <si>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</si>
  <si>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</si>
  <si>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</si>
  <si>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</si>
  <si>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</si>
  <si>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</si>
  <si>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</si>
  <si>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</si>
  <si>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</si>
  <si>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</si>
  <si>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</si>
  <si>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</si>
  <si>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</si>
  <si>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</si>
  <si>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</si>
  <si>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</si>
  <si>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</si>
  <si>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</si>
  <si>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Prepared by:</t>
  </si>
  <si>
    <t>Document delivery fee</t>
  </si>
  <si>
    <t>IDR</t>
  </si>
  <si>
    <t>Original Currency 
(USD/IDR)</t>
  </si>
  <si>
    <t>Original Currency Value</t>
  </si>
  <si>
    <t>QAQC</t>
  </si>
  <si>
    <t>Board of Directors</t>
  </si>
  <si>
    <t>BD001-00001</t>
  </si>
  <si>
    <t>Rental - Car for VIP Guest</t>
  </si>
  <si>
    <t>BD001-00003</t>
  </si>
  <si>
    <t>Postage and Courier - Document</t>
  </si>
  <si>
    <t>BD001-00004</t>
  </si>
  <si>
    <t>Stamp Duty</t>
  </si>
  <si>
    <t>BD001-00005</t>
  </si>
  <si>
    <t>BD001-00006</t>
  </si>
  <si>
    <t>Entertainment - Souvenir/Gift/Hampers</t>
  </si>
  <si>
    <t>BD001-00007</t>
  </si>
  <si>
    <t>BD001-00008</t>
  </si>
  <si>
    <t>BD001-00009</t>
  </si>
  <si>
    <t>Birthday Celebration</t>
  </si>
  <si>
    <t>BD001-00010</t>
  </si>
  <si>
    <t>BD001-00013</t>
  </si>
  <si>
    <t>Rental ­ VVIP Guest Visit</t>
  </si>
  <si>
    <t>BD001-00014</t>
  </si>
  <si>
    <t>Voorijder for VIP Guest</t>
  </si>
  <si>
    <t>BD001-00018</t>
  </si>
  <si>
    <t>Subscription - Ms. Visio Plan 2</t>
  </si>
  <si>
    <t>Rental cars for VIP Guests</t>
  </si>
  <si>
    <t>Purchase of stamp duty</t>
  </si>
  <si>
    <t>Bouquet for business colleague</t>
  </si>
  <si>
    <t>Souvenirs/gifts/hampers for business colleague, guests</t>
  </si>
  <si>
    <t>Meeting expenses BoD with external parties</t>
  </si>
  <si>
    <t>Meeting expenses BoD with internal team, shareholders</t>
  </si>
  <si>
    <t>Birthday cake for BoD</t>
  </si>
  <si>
    <t>Rental equipment for event with VVIP Guests</t>
  </si>
  <si>
    <t>Annual subscription for Ms. Visio Plan 2</t>
  </si>
  <si>
    <t>Business trip BoD</t>
  </si>
  <si>
    <t>BD001-00019</t>
  </si>
  <si>
    <t>PF - Bank Investment Analyst</t>
  </si>
  <si>
    <t>Professional fee for Bank Investment Analysis</t>
  </si>
  <si>
    <t>(Masaki Kawata)</t>
  </si>
  <si>
    <t>Reason for increase/decrease</t>
  </si>
  <si>
    <t>Executive manager to President Director Office</t>
  </si>
  <si>
    <t>Deputy Head Of Finance</t>
  </si>
  <si>
    <t>Deputy President Director</t>
  </si>
  <si>
    <t>President Director</t>
  </si>
  <si>
    <t>Membership fees</t>
  </si>
  <si>
    <t>Section 1. Existing Master Activity</t>
  </si>
  <si>
    <t>General Guidances</t>
  </si>
  <si>
    <t>Sheet 2 : Capex Detail</t>
  </si>
  <si>
    <t>Estimated / target project start date</t>
  </si>
  <si>
    <t>Estimated / target project completion date</t>
  </si>
  <si>
    <t>Original Currency</t>
  </si>
  <si>
    <t>Diisi informasi nominal sesuai mata uang asli</t>
  </si>
  <si>
    <t>Payment Terms</t>
  </si>
  <si>
    <t>Diisi informasi syarat pembayaran untuk aktivitas project/capex terkait.</t>
  </si>
  <si>
    <t>IT ANALYTICS</t>
  </si>
  <si>
    <t>Control</t>
  </si>
  <si>
    <t>10301BD002</t>
  </si>
  <si>
    <t>10301FA008</t>
  </si>
  <si>
    <t>10301IT004</t>
  </si>
  <si>
    <t>HEAD OF PRODUCTION</t>
  </si>
  <si>
    <t>HEAD OF FINANCE EXP</t>
  </si>
  <si>
    <t>HEAD OF IT EXPENSES</t>
  </si>
  <si>
    <t>10301SC008</t>
  </si>
  <si>
    <t>HEAD OF PROCUREMENT</t>
  </si>
  <si>
    <t>10301SC009</t>
  </si>
  <si>
    <t>HEAD OF SCM</t>
  </si>
  <si>
    <t>10301SM004</t>
  </si>
  <si>
    <t>HEAD OF SALES EXP</t>
  </si>
  <si>
    <t>General Manager Finance &amp; Accounting</t>
  </si>
  <si>
    <t>PD Office</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</si>
  <si>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</si>
  <si>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</si>
  <si>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</si>
  <si>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</si>
  <si>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</si>
  <si>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</si>
  <si>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</si>
  <si>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</si>
  <si>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</si>
  <si>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</si>
  <si>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</si>
  <si>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</si>
  <si>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</si>
  <si>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Amount
(IDR)</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</si>
  <si>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</si>
  <si>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</si>
  <si>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</si>
  <si>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</si>
  <si>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</si>
  <si>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</si>
  <si>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</si>
  <si>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</si>
  <si>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</si>
  <si>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</si>
  <si>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</si>
  <si>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</si>
  <si>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</si>
  <si>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</si>
  <si>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Jumlah anggaran per ledger dan per bulan yang dibutuhkan di tahun 2026
- Disajikan dalam mata uang IDR
- Nilai yang dibudgetkan adalah nilai DPP(exclude PPn)
- Nilai yang diisi didetailkan berdasakan detail aktivitas</t>
  </si>
  <si>
    <t>GUIDANCES FOR FILLING OUT THE ANNUAL BUDGET (MASTER BUDGET) FOR THE PERIOD 2026</t>
  </si>
  <si>
    <t>Section 2. Proposed New Activity 2026</t>
  </si>
  <si>
    <t>Proposed New Activity 2026</t>
  </si>
  <si>
    <t>BD001-00021</t>
  </si>
  <si>
    <t>BD001-00022</t>
  </si>
  <si>
    <t>BD001-00023</t>
  </si>
  <si>
    <t>BD001-00024</t>
  </si>
  <si>
    <t>BD001-00025</t>
  </si>
  <si>
    <t>Immigration Escort Service</t>
  </si>
  <si>
    <t>Executive Advisor</t>
  </si>
  <si>
    <t>Equipment for VVIP Guest</t>
  </si>
  <si>
    <t>Subscription Meeting AI</t>
  </si>
  <si>
    <t>Steel Laboratorium</t>
  </si>
  <si>
    <t>Annual Budget 2025</t>
  </si>
  <si>
    <t>Actual
(Jan-Jul 2025)</t>
  </si>
  <si>
    <t>Annual Budget
2026</t>
  </si>
  <si>
    <t>Jan 2026
(In IDR)</t>
  </si>
  <si>
    <t>Feb 2026
(In IDR)</t>
  </si>
  <si>
    <t>Mar 2026
(In IDR)</t>
  </si>
  <si>
    <t>Apr 2026
(In IDR)</t>
  </si>
  <si>
    <t>May 2026
(In IDR)</t>
  </si>
  <si>
    <t>Jun 2026
(In IDR)</t>
  </si>
  <si>
    <t>Aug 2026
(In IDR)</t>
  </si>
  <si>
    <t>Sep 2026
(In IDR)</t>
  </si>
  <si>
    <t>Oct 2026
(In IDR)</t>
  </si>
  <si>
    <t>Nov 2026
(In IDR)</t>
  </si>
  <si>
    <t>Dec 2026
(In IDR)</t>
  </si>
  <si>
    <t>New Activity 2026</t>
  </si>
  <si>
    <t>Outstanding PO 2025
(Realised in 2026)
PO Number</t>
  </si>
  <si>
    <t>Outstanding PO 2025
(Realised in 2026)
IDR</t>
  </si>
  <si>
    <t>BD002-00001</t>
  </si>
  <si>
    <t>Business Trip Head of Production</t>
  </si>
  <si>
    <t>Financial Planning &amp; Analysis Manager</t>
  </si>
  <si>
    <t>SMS</t>
  </si>
  <si>
    <t>MSN</t>
  </si>
  <si>
    <t>HRGA</t>
  </si>
  <si>
    <t>SL</t>
  </si>
  <si>
    <t>PC</t>
  </si>
  <si>
    <t>10301MS010</t>
  </si>
  <si>
    <t>SCM LOGISTICS</t>
  </si>
  <si>
    <t>SCM WAREHOUSE SPC</t>
  </si>
  <si>
    <t>SCM GRADER</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</si>
  <si>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</si>
  <si>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</si>
  <si>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</si>
  <si>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</si>
  <si>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</si>
  <si>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</si>
  <si>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</si>
  <si>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</si>
  <si>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</si>
  <si>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</si>
  <si>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</si>
  <si>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</si>
  <si>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</si>
  <si>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</si>
  <si>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</si>
  <si>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TECH SUPPORT PPIC</t>
  </si>
  <si>
    <t>TECH SUPPORTING QA</t>
  </si>
  <si>
    <t>ELECTRICAL MT &amp; PROJ</t>
  </si>
  <si>
    <t>10202SU009</t>
  </si>
  <si>
    <t>MACHINE SHOP</t>
  </si>
  <si>
    <t>10202SU017</t>
  </si>
  <si>
    <t>BP1 ELECTRICAL DEPT</t>
  </si>
  <si>
    <t>BP1 MECHANICAL DEPT</t>
  </si>
  <si>
    <t>BP1 PPIC DEPT</t>
  </si>
  <si>
    <t>BP1 QA/QC DEPT</t>
  </si>
  <si>
    <t>IO/Project ID Group</t>
  </si>
  <si>
    <t>IO/Project ID</t>
  </si>
  <si>
    <t>Why this budget required?
(Justification)</t>
  </si>
  <si>
    <t>Estimated budget consumed (based on PO)</t>
  </si>
  <si>
    <t>Estimated expense recorded (based on GRN)</t>
  </si>
  <si>
    <t>Exchange rate (USD)</t>
  </si>
  <si>
    <t>Legal &amp; Compliance</t>
  </si>
  <si>
    <t>Sustainability</t>
  </si>
  <si>
    <t>SCM Logistics</t>
  </si>
  <si>
    <t>SCM Warehouse &amp; Inventory</t>
  </si>
  <si>
    <t>Corporate Planning</t>
  </si>
  <si>
    <t>SCM Grader</t>
  </si>
  <si>
    <t>Jul 2026
(In IDR)</t>
  </si>
  <si>
    <t>Amount Budget 2026
(Original Currency)</t>
  </si>
  <si>
    <t>Amount Budget 2026
(IDR)</t>
  </si>
  <si>
    <t>Proposed Budget 2026 + Outstanding PO 2025
IDR</t>
  </si>
  <si>
    <t>Advertising - Social Media</t>
  </si>
  <si>
    <t>Advertising - Company Profile &amp; Catalog</t>
  </si>
  <si>
    <t>Advertising - Media Placement</t>
  </si>
  <si>
    <t>Advertising - Souvenir/Gift</t>
  </si>
  <si>
    <t>Subscription - Linkedin Premium</t>
  </si>
  <si>
    <t>Subscription - Adobe Ilustrator</t>
  </si>
  <si>
    <t>Subcription - Canva Teams</t>
  </si>
  <si>
    <t>Subcription - Acrobat PDF</t>
  </si>
  <si>
    <t>CORPORATE PLANNING &amp; STRATEGY</t>
  </si>
  <si>
    <t>CP001-00006</t>
  </si>
  <si>
    <t>CP001-00007</t>
  </si>
  <si>
    <t>CP001-00008</t>
  </si>
  <si>
    <t>Entertainment - Donation</t>
  </si>
  <si>
    <t>PR001-00001</t>
  </si>
  <si>
    <t>Social media management</t>
  </si>
  <si>
    <t>PR001-00002</t>
  </si>
  <si>
    <t>Translator</t>
  </si>
  <si>
    <t>Translator fee for company profile, financial statement, other documents</t>
  </si>
  <si>
    <t>PR001-00003</t>
  </si>
  <si>
    <t>Website</t>
  </si>
  <si>
    <t>Consultant for new website</t>
  </si>
  <si>
    <t>PR001-00004</t>
  </si>
  <si>
    <t>PF - Media Publication</t>
  </si>
  <si>
    <t>Professional fee for media publication</t>
  </si>
  <si>
    <t>PR002-00001</t>
  </si>
  <si>
    <t>MEDIA RELATIONS/PRESS CONF.</t>
  </si>
  <si>
    <t>Company profile (video &amp; book), photo session</t>
  </si>
  <si>
    <t>PR002-00002</t>
  </si>
  <si>
    <t>Media Article Placement</t>
  </si>
  <si>
    <t>PR002-00003</t>
  </si>
  <si>
    <t>Souvenirs/gifts with GYS logo for company guests</t>
  </si>
  <si>
    <t>PR002-00004</t>
  </si>
  <si>
    <t xml:space="preserve">Sponsorships given for government ministry, steel association, etc </t>
  </si>
  <si>
    <t>PR002-00005</t>
  </si>
  <si>
    <t>AE - Exhibition Sponsorship</t>
  </si>
  <si>
    <t>Exhibition registration fee</t>
  </si>
  <si>
    <t>PR002-00007</t>
  </si>
  <si>
    <t>Printing banner/sticker for event</t>
  </si>
  <si>
    <t>PR002-00008</t>
  </si>
  <si>
    <t>PR002-00009</t>
  </si>
  <si>
    <t>Subscription - Data Sourcing (Yosefardi)</t>
  </si>
  <si>
    <t>PR002-00010</t>
  </si>
  <si>
    <t>Yearly subscription for Linkedin Premium</t>
  </si>
  <si>
    <t>PR002-00011</t>
  </si>
  <si>
    <t>Event - Media Gathering</t>
  </si>
  <si>
    <t>PR002-00012</t>
  </si>
  <si>
    <t>Event - Supplier/Vendor Gathering</t>
  </si>
  <si>
    <t>PR002-00013</t>
  </si>
  <si>
    <t>Event - Customer Gathering</t>
  </si>
  <si>
    <t>PR002-00014</t>
  </si>
  <si>
    <t>PR002-00015</t>
  </si>
  <si>
    <t>Hampers for External Parties</t>
  </si>
  <si>
    <t>PR002-00016</t>
  </si>
  <si>
    <t>PR002-00017</t>
  </si>
  <si>
    <t>Airport Access</t>
  </si>
  <si>
    <t>PR002-00018</t>
  </si>
  <si>
    <t>Subscription - Final Cut Pro</t>
  </si>
  <si>
    <t>PR002-00019</t>
  </si>
  <si>
    <t>Subscription - Adobe CC</t>
  </si>
  <si>
    <t>PR002-00020</t>
  </si>
  <si>
    <t>PR002-00021</t>
  </si>
  <si>
    <t>Subscription - Adobe indesign</t>
  </si>
  <si>
    <t>PR002-00022</t>
  </si>
  <si>
    <t>Subscription - AutoCAD</t>
  </si>
  <si>
    <t>PR002-00023</t>
  </si>
  <si>
    <t>Subscription - SketchUp Studio</t>
  </si>
  <si>
    <t>PR002-00024</t>
  </si>
  <si>
    <t>Event - Pembangkit Listrik Tenaga Surya</t>
  </si>
  <si>
    <t>PR002-00025</t>
  </si>
  <si>
    <t>Local Advertising Service</t>
  </si>
  <si>
    <t>PR002-00026</t>
  </si>
  <si>
    <t>Event - Inauguration of SVC</t>
  </si>
  <si>
    <t>PR002-00028</t>
  </si>
  <si>
    <t>Rental - Focus Group Discussion</t>
  </si>
  <si>
    <t>PR002-00029</t>
  </si>
  <si>
    <t>Event - Focus Group Discussion</t>
  </si>
  <si>
    <t>PR002-00030</t>
  </si>
  <si>
    <t>Entertainment - Focus Group Discussion</t>
  </si>
  <si>
    <t>PR002-00032</t>
  </si>
  <si>
    <t>PR002-00033</t>
  </si>
  <si>
    <t>Rental - Guest Visit</t>
  </si>
  <si>
    <t>PR002-00034</t>
  </si>
  <si>
    <t>Subscription - Adobe Pro DC</t>
  </si>
  <si>
    <t>PR002-00035</t>
  </si>
  <si>
    <t>PR002-00036</t>
  </si>
  <si>
    <t>Membership - Internal Audit Profession</t>
  </si>
  <si>
    <t>Consulting Services for JSOX Implementation</t>
  </si>
  <si>
    <t>IA001-00001</t>
  </si>
  <si>
    <t>Business trip for training/seminar</t>
  </si>
  <si>
    <t>IA001-00002</t>
  </si>
  <si>
    <t>Renewal Membership - Internal Audit Profession (IIA Indonesia)</t>
  </si>
  <si>
    <t>IA001-00003</t>
  </si>
  <si>
    <t>Banner for Gratifcation Socialisation, Whistleblowing System</t>
  </si>
  <si>
    <t>IA001-00005</t>
  </si>
  <si>
    <t>Business Trip Corcomm</t>
  </si>
  <si>
    <t>Business trip for training/seminar IA</t>
  </si>
  <si>
    <t>Meeting with Internal</t>
  </si>
  <si>
    <t>Printing - Sticker/Banner/Foto Corcomm</t>
  </si>
  <si>
    <t>Printing - Sticker/Banner/Foto IA</t>
  </si>
  <si>
    <t>Entertainment - Bouquet BoD</t>
  </si>
  <si>
    <t>Meeting with External Parties BoD</t>
  </si>
  <si>
    <t>AE - Sponsorship Corplan</t>
  </si>
  <si>
    <t>Meeting with External Parties Corplan</t>
  </si>
  <si>
    <t>AE - Sponsorship Corcomm</t>
  </si>
  <si>
    <t>Meeting with External Parties Corcomm</t>
  </si>
  <si>
    <t>Entertainment - Bouquet Corcomm</t>
  </si>
  <si>
    <t>Exchange rate</t>
  </si>
  <si>
    <t>Justification of the budget</t>
  </si>
  <si>
    <t>Proposed Delete/close Activity 2026</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</si>
  <si>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</si>
  <si>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</si>
  <si>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</si>
  <si>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</si>
  <si>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</si>
  <si>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</si>
  <si>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</si>
  <si>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</si>
  <si>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</si>
  <si>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</si>
  <si>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</si>
  <si>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</si>
  <si>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</si>
  <si>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</si>
  <si>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Business Unit (BU)</t>
  </si>
  <si>
    <t>Service Unit (SU)</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</si>
  <si>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</si>
  <si>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</si>
  <si>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</si>
  <si>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</si>
  <si>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</si>
  <si>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</si>
  <si>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</si>
  <si>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</si>
  <si>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</si>
  <si>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</si>
  <si>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</si>
  <si>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</si>
  <si>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</si>
  <si>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</si>
  <si>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</si>
  <si>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</si>
  <si>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</si>
  <si>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</si>
  <si>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</si>
  <si>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</si>
  <si>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</si>
  <si>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</si>
  <si>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</si>
  <si>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</si>
  <si>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</si>
  <si>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</si>
  <si>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</si>
  <si>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</si>
  <si>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</si>
  <si>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</si>
  <si>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</si>
  <si>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</si>
  <si>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</si>
  <si>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</si>
  <si>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</si>
  <si>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</si>
  <si>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</si>
  <si>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</si>
  <si>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</si>
  <si>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</si>
  <si>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</si>
  <si>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</si>
  <si>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</si>
  <si>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</si>
  <si>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</si>
  <si>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</si>
  <si>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</si>
  <si>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</si>
  <si>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</si>
  <si>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</si>
  <si>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</si>
  <si>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</si>
  <si>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</si>
  <si>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</si>
  <si>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</si>
  <si>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</si>
  <si>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</si>
  <si>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</si>
  <si>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</si>
  <si>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</si>
  <si>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</si>
  <si>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</si>
  <si>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</si>
  <si>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</si>
  <si>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</si>
  <si>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</si>
  <si>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</si>
  <si>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</si>
  <si>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</si>
  <si>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</si>
  <si>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</si>
  <si>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</si>
  <si>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</si>
  <si>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</si>
  <si>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</si>
  <si>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</si>
  <si>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</si>
  <si>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</si>
  <si>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</si>
  <si>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</si>
  <si>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</si>
  <si>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</si>
  <si>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</si>
  <si>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</si>
  <si>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</si>
  <si>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</si>
  <si>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</si>
  <si>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</si>
  <si>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</si>
  <si>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</si>
  <si>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</si>
  <si>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</si>
  <si>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</si>
  <si>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</si>
  <si>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</si>
  <si>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</si>
  <si>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</si>
  <si>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</si>
  <si>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</si>
  <si>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</si>
  <si>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</si>
  <si>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</si>
  <si>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</si>
  <si>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</si>
  <si>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</si>
  <si>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</si>
  <si>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</si>
  <si>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</si>
  <si>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</si>
  <si>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</si>
  <si>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</si>
  <si>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</si>
  <si>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</si>
  <si>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</si>
  <si>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</si>
  <si>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</si>
  <si>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</si>
  <si>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</si>
  <si>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</si>
  <si>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</si>
  <si>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</si>
  <si>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</si>
  <si>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</si>
  <si>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</si>
  <si>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</si>
  <si>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</si>
  <si>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</si>
  <si>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</si>
  <si>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</si>
  <si>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</si>
  <si>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</si>
  <si>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</si>
  <si>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</si>
  <si>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</si>
  <si>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</si>
  <si>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</si>
  <si>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</si>
  <si>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</si>
  <si>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</si>
  <si>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</si>
  <si>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</si>
  <si>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</si>
  <si>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</si>
  <si>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</si>
  <si>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</si>
  <si>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</si>
  <si>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</si>
  <si>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</si>
  <si>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</si>
  <si>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</si>
  <si>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</si>
  <si>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</si>
  <si>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</si>
  <si>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</si>
  <si>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</si>
  <si>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</si>
  <si>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</si>
  <si>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</si>
  <si>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</si>
  <si>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</si>
  <si>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</si>
  <si>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</si>
  <si>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</si>
  <si>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</si>
  <si>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</si>
  <si>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</si>
  <si>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</si>
  <si>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</si>
  <si>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</si>
  <si>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</si>
  <si>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</si>
  <si>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</si>
  <si>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</si>
  <si>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</si>
  <si>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</si>
  <si>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</si>
  <si>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</si>
  <si>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</si>
  <si>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</si>
  <si>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</si>
  <si>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</si>
  <si>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</si>
  <si>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</si>
  <si>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</si>
  <si>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</si>
  <si>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</si>
  <si>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</si>
  <si>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</si>
  <si>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</si>
  <si>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</si>
  <si>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</si>
  <si>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</si>
  <si>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</si>
  <si>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</si>
  <si>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</si>
  <si>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</si>
  <si>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</si>
  <si>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</si>
  <si>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</si>
  <si>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</si>
  <si>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</si>
  <si>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</si>
  <si>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</si>
  <si>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</si>
  <si>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</si>
  <si>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</si>
  <si>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</si>
  <si>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</si>
  <si>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</si>
  <si>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</si>
  <si>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</si>
  <si>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</si>
  <si>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</si>
  <si>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</si>
  <si>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</si>
  <si>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</si>
  <si>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</si>
  <si>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</si>
  <si>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</si>
  <si>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</si>
  <si>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</si>
  <si>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</si>
  <si>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</si>
  <si>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</si>
  <si>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</si>
  <si>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</si>
  <si>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</si>
  <si>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</si>
  <si>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</si>
  <si>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</si>
  <si>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</si>
  <si>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</si>
  <si>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</si>
  <si>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</si>
  <si>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</si>
  <si>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</si>
  <si>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</si>
  <si>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</si>
  <si>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</si>
  <si>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</si>
  <si>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</si>
  <si>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</si>
  <si>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</si>
  <si>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</si>
  <si>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</si>
  <si>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</si>
  <si>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</si>
  <si>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</si>
  <si>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</si>
  <si>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</si>
  <si>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</si>
  <si>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</si>
  <si>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</si>
  <si>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</si>
  <si>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</si>
  <si>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</si>
  <si>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</si>
  <si>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</si>
  <si>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</si>
  <si>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</si>
  <si>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</si>
  <si>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</si>
  <si>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</si>
  <si>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</si>
  <si>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</si>
  <si>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</si>
  <si>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</si>
  <si>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</si>
  <si>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</si>
  <si>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</si>
  <si>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</si>
  <si>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</si>
  <si>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</si>
  <si>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</si>
  <si>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</si>
  <si>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</si>
  <si>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</si>
  <si>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</si>
  <si>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</si>
  <si>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</si>
  <si>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</si>
  <si>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</si>
  <si>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</si>
  <si>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</si>
  <si>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</si>
  <si>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</si>
  <si>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</si>
  <si>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</si>
  <si>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</si>
  <si>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</si>
  <si>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</si>
  <si>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</si>
  <si>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</si>
  <si>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</si>
  <si>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</si>
  <si>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</si>
  <si>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</si>
  <si>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</si>
  <si>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</si>
  <si>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</si>
  <si>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</si>
  <si>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</si>
  <si>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</si>
  <si>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</si>
  <si>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</si>
  <si>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</si>
  <si>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</si>
  <si>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</si>
  <si>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</si>
  <si>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</si>
  <si>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</si>
  <si>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</si>
  <si>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</si>
  <si>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</si>
  <si>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</si>
  <si>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</si>
  <si>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</si>
  <si>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</si>
  <si>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</si>
  <si>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</si>
  <si>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</si>
  <si>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</si>
  <si>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</si>
  <si>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</si>
  <si>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</si>
  <si>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</si>
  <si>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</si>
  <si>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</si>
  <si>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</si>
  <si>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</si>
  <si>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</si>
  <si>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</si>
  <si>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</si>
  <si>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</si>
  <si>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</si>
  <si>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</si>
  <si>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</si>
  <si>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</si>
  <si>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</si>
  <si>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</si>
  <si>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</si>
  <si>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</si>
  <si>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</si>
  <si>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</si>
  <si>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</si>
  <si>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</si>
  <si>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</si>
  <si>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</si>
  <si>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</si>
  <si>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</si>
  <si>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</si>
  <si>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</si>
  <si>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</si>
  <si>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</si>
  <si>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</si>
  <si>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</si>
  <si>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</si>
  <si>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</si>
  <si>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</si>
  <si>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</si>
  <si>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</si>
  <si>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</si>
  <si>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</si>
  <si>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</si>
  <si>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</si>
  <si>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</si>
  <si>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</si>
  <si>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</si>
  <si>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</si>
  <si>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</si>
  <si>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</si>
  <si>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</si>
  <si>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</si>
  <si>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</si>
  <si>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</si>
  <si>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</si>
  <si>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</si>
  <si>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</si>
  <si>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</si>
  <si>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</si>
  <si>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</si>
  <si>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</si>
  <si>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</si>
  <si>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</si>
  <si>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</si>
  <si>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</si>
  <si>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</si>
  <si>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</si>
  <si>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</si>
  <si>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</si>
  <si>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</si>
  <si>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</si>
  <si>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</si>
  <si>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</si>
  <si>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</si>
  <si>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</si>
  <si>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</si>
  <si>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</si>
  <si>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</si>
  <si>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</si>
  <si>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</si>
  <si>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</si>
  <si>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</si>
  <si>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</si>
  <si>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</si>
  <si>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</si>
  <si>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</si>
  <si>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</si>
  <si>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</si>
  <si>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</si>
  <si>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</si>
  <si>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</si>
  <si>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</si>
  <si>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</si>
  <si>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</si>
  <si>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</si>
  <si>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</si>
  <si>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</si>
  <si>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</si>
  <si>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</si>
  <si>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</si>
  <si>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</si>
  <si>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</si>
  <si>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</si>
  <si>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</si>
  <si>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</si>
  <si>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</si>
  <si>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</si>
  <si>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</si>
  <si>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</si>
  <si>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</si>
  <si>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</si>
  <si>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</si>
  <si>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</si>
  <si>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</si>
  <si>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</si>
  <si>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</si>
  <si>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</si>
  <si>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</si>
  <si>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</si>
  <si>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</si>
  <si>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</si>
  <si>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</si>
  <si>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</si>
  <si>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</si>
  <si>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</si>
  <si>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</si>
  <si>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</si>
  <si>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</si>
  <si>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</si>
  <si>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</si>
  <si>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</si>
  <si>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</si>
  <si>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</si>
  <si>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</si>
  <si>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</si>
  <si>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</si>
  <si>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</si>
  <si>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</si>
  <si>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</si>
  <si>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</si>
  <si>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</si>
  <si>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Cost centre</t>
  </si>
  <si>
    <t>Cost centre code</t>
  </si>
  <si>
    <t>Cost centre description</t>
  </si>
  <si>
    <t>Project ID - Code</t>
  </si>
  <si>
    <t>IO - Code</t>
  </si>
  <si>
    <t>ELECTRICAL</t>
  </si>
  <si>
    <t>MECHANICAL</t>
  </si>
  <si>
    <t>10202SU001</t>
  </si>
  <si>
    <t>PD OFFICE</t>
  </si>
  <si>
    <t>PD</t>
  </si>
  <si>
    <t>LEGAL &amp; COMPLIANCE</t>
  </si>
  <si>
    <t>General Counsel</t>
  </si>
  <si>
    <t>CLC</t>
  </si>
  <si>
    <t>Compliance &amp; Governance</t>
  </si>
  <si>
    <t>Permit &amp; Licensing</t>
  </si>
  <si>
    <t>Accounting &amp; Fixed Asset Management</t>
  </si>
  <si>
    <t>REGULATORY &amp; EXT AFFAIRS</t>
  </si>
  <si>
    <t>Government Relation &amp; EA</t>
  </si>
  <si>
    <t>GR</t>
  </si>
  <si>
    <t>SALES &amp; PROCUREMENT</t>
  </si>
  <si>
    <t>List General Ledger</t>
  </si>
  <si>
    <t>Table 3.3. List Ledger CAPEX</t>
  </si>
  <si>
    <t>IO &amp; Project ID - Group</t>
  </si>
  <si>
    <t>Related Departments</t>
  </si>
  <si>
    <t>CAPEX Priority</t>
  </si>
  <si>
    <t>CAPEX</t>
  </si>
  <si>
    <t>OPEX</t>
  </si>
  <si>
    <t>Ctrl to Master Data</t>
  </si>
  <si>
    <t>Ledger Expense Group / Type</t>
  </si>
  <si>
    <t>Selling / GA</t>
  </si>
  <si>
    <t>A0126</t>
  </si>
  <si>
    <t>A0226</t>
  </si>
  <si>
    <t>A0326</t>
  </si>
  <si>
    <t>A0426</t>
  </si>
  <si>
    <t>A0526</t>
  </si>
  <si>
    <t>A0626</t>
  </si>
  <si>
    <t>A0726</t>
  </si>
  <si>
    <t>A0826</t>
  </si>
  <si>
    <t>A0926</t>
  </si>
  <si>
    <t>A1126</t>
  </si>
  <si>
    <t>LSM REPAIR</t>
  </si>
  <si>
    <t>x</t>
  </si>
  <si>
    <t>Permits &amp; Licensing</t>
  </si>
  <si>
    <t>Legal Commercial</t>
  </si>
  <si>
    <t>Regulatory &amp; external affair</t>
  </si>
  <si>
    <t>&gt;&gt; New CC</t>
  </si>
  <si>
    <t>Budget Capex Detail</t>
  </si>
  <si>
    <t>Master Data</t>
  </si>
  <si>
    <t>SUSTAINABILITY</t>
  </si>
  <si>
    <t>ESG</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</si>
  <si>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</si>
  <si>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</si>
  <si>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</si>
  <si>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</si>
  <si>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</si>
  <si>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</si>
  <si>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</si>
  <si>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</si>
  <si>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</si>
  <si>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</si>
  <si>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Biaya lain-lain yang tidak termasuk pada kategori biaya tersebut di atas</t>
  </si>
  <si>
    <t>Other expenses not included in the categories mentioned above</t>
  </si>
  <si>
    <t>Subscription for drawing license</t>
  </si>
  <si>
    <t>Internal Event</t>
  </si>
  <si>
    <t>Graphic design platform for creating posters, presentations, social media posts, etc</t>
  </si>
  <si>
    <t>Application subscriptionfor viewing, creating, editing, managing, and sharing PDF (Portable Document Format) files</t>
  </si>
  <si>
    <t>JSOX Consultant</t>
  </si>
  <si>
    <t>Mohon kirimkan Lembar kerja anggaran tahunan (master budget template) yang telah disetujui ke Budget&amp;Analysis Departemen paling lambat tanggal 05 September 2025.</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</si>
  <si>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</si>
  <si>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</si>
  <si>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</si>
  <si>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</si>
  <si>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</si>
  <si>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</si>
  <si>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</si>
  <si>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</si>
  <si>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</si>
  <si>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</si>
  <si>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t>MS010-00004</t>
  </si>
  <si>
    <t>COMPLIANCE &amp; GOVERNMENT RELATION</t>
  </si>
  <si>
    <t>MS010-00006</t>
  </si>
  <si>
    <t>Consultant Fee for "Sertifikat Industri Hijau" (Green Industry Certificate)</t>
  </si>
  <si>
    <t>PROJECT MANAGEMENT</t>
  </si>
  <si>
    <t>IT BUSINESS SOLUTION</t>
  </si>
  <si>
    <t>CSR &amp; COMMUNITY DEVELOPMENT</t>
  </si>
  <si>
    <t>GOVERNMENT RELATIONS &amp; EXTERNAL ACTIVITIES</t>
  </si>
  <si>
    <t>GOVERNMENT PROJECT - CONSULTING SERVICES</t>
  </si>
  <si>
    <t>ESG Roadmap &amp; Decarbonization Plan</t>
  </si>
  <si>
    <t>Green Industry Certificate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</si>
</sst>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1" formatCode="_-* #,##0_-;\-* #,##0_-;_-* &quot;-&quot;_-;_-@_-"/>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s>
  <fonts count="37" x14ac:knownFonts="1">
    <font>
      <sz val="11"/>
      <color theme="1"/>
      <name val="Calibri"/>
      <family val="2"/>
      <scheme val="minor"/>
    </font>
    <font>
      <sz val="11"/>
      <color theme="1"/>
      <name val="Calibri"/>
      <family val="2"/>
      <scheme val="minor"/>
    </font>
    <font>
      <sz val="11"/>
      <color theme="1"/>
      <name val="Arial"/>
      <family val="2"/>
    </font>
    <font>
      <u/>
      <sz val="11"/>
      <color theme="10"/>
      <name val="Arial"/>
      <family val="2"/>
    </font>
    <font>
      <b/>
      <sz val="11"/>
      <color theme="1"/>
      <name val="Calibri"/>
      <family val="2"/>
      <scheme val="minor"/>
    </font>
    <font>
      <b/>
      <sz val="9"/>
      <color indexed="81"/>
      <name val="Tahoma"/>
      <family val="2"/>
    </font>
    <font>
      <sz val="10"/>
      <name val="Arial"/>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b/>
      <sz val="11"/>
      <color rgb="FFFF0000"/>
      <name val="Aptos Narrow"/>
      <family val="2"/>
    </font>
    <font>
      <i/>
      <sz val="11"/>
      <color rgb="FF000000"/>
      <name val="Aptos Narrow"/>
      <family val="2"/>
    </font>
    <font>
      <b/>
      <sz val="11"/>
      <color rgb="FF000000"/>
      <name val="Aptos Narrow"/>
      <family val="2"/>
    </font>
    <font>
      <sz val="11"/>
      <color theme="0"/>
      <name val="Aptos Narrow"/>
      <family val="2"/>
    </font>
    <font>
      <sz val="11"/>
      <color rgb="FFFF0000"/>
      <name val="Aptos Narrow"/>
      <family val="2"/>
    </font>
    <font>
      <sz val="11"/>
      <color rgb="FFEE0000"/>
      <name val="Aptos Narrow"/>
      <family val="2"/>
    </font>
    <font>
      <b/>
      <sz val="24"/>
      <color theme="1"/>
      <name val="Aptos Narrow"/>
      <family val="2"/>
    </font>
    <font>
      <b/>
      <i/>
      <u/>
      <sz val="11"/>
      <color rgb="FF339966"/>
      <name val="Aptos Narrow"/>
      <family val="2"/>
    </font>
    <font>
      <b/>
      <sz val="14"/>
      <color theme="1"/>
      <name val="Aptos Narrow"/>
      <family val="2"/>
    </font>
    <font>
      <sz val="12"/>
      <color theme="1"/>
      <name val="Aptos Narrow"/>
      <family val="2"/>
    </font>
    <font>
      <b/>
      <i/>
      <u/>
      <sz val="11"/>
      <color rgb="FF339966"/>
      <name val="Calibri"/>
      <family val="2"/>
      <scheme val="minor"/>
    </font>
    <font>
      <sz val="12"/>
      <name val="Aptos Narrow"/>
      <family val="2"/>
    </font>
  </fonts>
  <fills count="22">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5"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87">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thin">
        <color auto="1"/>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indexed="64"/>
      </right>
      <top style="hair">
        <color indexed="64"/>
      </top>
      <bottom style="hair">
        <color indexed="64"/>
      </bottom>
      <diagonal/>
    </border>
    <border>
      <left style="thin">
        <color auto="1"/>
      </left>
      <right/>
      <top style="thin">
        <color auto="1"/>
      </top>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right style="medium">
        <color indexed="64"/>
      </right>
      <top style="thin">
        <color auto="1"/>
      </top>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
      <left style="medium">
        <color indexed="64"/>
      </left>
      <right/>
      <top style="thin">
        <color auto="1"/>
      </top>
      <bottom style="thin">
        <color auto="1"/>
      </bottom>
      <diagonal/>
    </border>
  </borders>
  <cellStyleXfs count="21">
    <xf numFmtId="0" fontId="0" fillId="0" borderId="0"/>
    <xf numFmtId="0" fontId="2" fillId="0" borderId="0"/>
    <xf numFmtId="0" fontId="3" fillId="0" borderId="0" applyNumberFormat="0" applyFill="0" applyBorder="0" applyAlignment="0" applyProtection="0"/>
    <xf numFmtId="0" fontId="2" fillId="0" borderId="0"/>
    <xf numFmtId="165" fontId="2"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2" fillId="0" borderId="0" applyFont="0" applyFill="0" applyBorder="0" applyAlignment="0" applyProtection="0"/>
    <xf numFmtId="165"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0" fontId="1" fillId="0" borderId="0"/>
    <xf numFmtId="0" fontId="6" fillId="0" borderId="0"/>
    <xf numFmtId="41" fontId="6" fillId="0" borderId="0" applyFont="0" applyFill="0" applyBorder="0" applyAlignment="0" applyProtection="0"/>
    <xf numFmtId="41" fontId="6"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6" fillId="0" borderId="0"/>
    <xf numFmtId="0" fontId="7" fillId="0" borderId="0"/>
    <xf numFmtId="0" fontId="8" fillId="0" borderId="0" applyNumberFormat="0" applyFill="0" applyBorder="0" applyAlignment="0" applyProtection="0"/>
  </cellStyleXfs>
  <cellXfs count="354">
    <xf numFmtId="0" fontId="0" fillId="0" borderId="0" xfId="0"/>
    <xf numFmtId="0" fontId="0" fillId="0" borderId="2" xfId="0" applyBorder="1" applyAlignment="1">
      <alignment vertical="top"/>
    </xf>
    <xf numFmtId="0" fontId="4" fillId="0" borderId="2" xfId="0" applyFont="1" applyBorder="1" applyAlignment="1">
      <alignment horizontal="left"/>
    </xf>
    <xf numFmtId="0" fontId="9" fillId="0" borderId="0" xfId="1" applyFont="1"/>
    <xf numFmtId="0" fontId="10" fillId="0" borderId="0" xfId="1" applyFont="1"/>
    <xf numFmtId="0" fontId="11" fillId="0" borderId="0" xfId="1" applyFont="1"/>
    <xf numFmtId="0" fontId="10" fillId="0" borderId="1" xfId="1" applyFont="1" applyBorder="1"/>
    <xf numFmtId="0" fontId="12" fillId="0" borderId="1" xfId="1" applyFont="1" applyBorder="1"/>
    <xf numFmtId="0" fontId="13" fillId="0" borderId="0" xfId="1" applyFont="1"/>
    <xf numFmtId="0" fontId="14" fillId="0" borderId="0" xfId="1" applyFont="1"/>
    <xf numFmtId="0" fontId="15" fillId="0" borderId="0" xfId="1" applyFont="1"/>
    <xf numFmtId="0" fontId="10" fillId="0" borderId="0" xfId="1" applyFont="1" applyAlignment="1">
      <alignment horizontal="right"/>
    </xf>
    <xf numFmtId="0" fontId="10" fillId="0" borderId="0" xfId="1" quotePrefix="1" applyFont="1"/>
    <xf numFmtId="0" fontId="21" fillId="14" borderId="2" xfId="1" applyFont="1" applyFill="1" applyBorder="1"/>
    <xf numFmtId="0" fontId="10" fillId="0" borderId="2" xfId="1" applyFont="1" applyBorder="1"/>
    <xf numFmtId="0" fontId="21" fillId="14" borderId="2" xfId="1" applyFont="1" applyFill="1" applyBorder="1" applyAlignment="1">
      <alignment vertical="top"/>
    </xf>
    <xf numFmtId="0" fontId="10" fillId="0" borderId="2" xfId="1" applyFont="1" applyBorder="1" applyAlignment="1">
      <alignment vertical="top" wrapText="1"/>
    </xf>
    <xf numFmtId="0" fontId="20" fillId="0" borderId="3" xfId="1" applyFont="1" applyBorder="1" applyAlignment="1">
      <alignment horizontal="left" vertical="top" wrapText="1"/>
    </xf>
    <xf numFmtId="0" fontId="21" fillId="14" borderId="2" xfId="1" applyFont="1" applyFill="1" applyBorder="1" applyAlignment="1">
      <alignment horizontal="center"/>
    </xf>
    <xf numFmtId="0" fontId="10" fillId="0" borderId="2" xfId="1" applyFont="1" applyBorder="1" applyAlignment="1">
      <alignment horizontal="left"/>
    </xf>
    <xf numFmtId="0" fontId="10" fillId="0" borderId="4" xfId="1" applyFont="1" applyBorder="1"/>
    <xf numFmtId="0" fontId="22" fillId="0" borderId="0" xfId="1" applyFont="1"/>
    <xf numFmtId="0" fontId="17" fillId="0" borderId="2" xfId="3" applyFont="1" applyBorder="1" applyAlignment="1">
      <alignment horizontal="left" vertical="top" wrapText="1"/>
    </xf>
    <xf numFmtId="0" fontId="10" fillId="0" borderId="2" xfId="3" applyFont="1" applyBorder="1" applyAlignment="1">
      <alignment horizontal="left" vertical="top" wrapText="1"/>
    </xf>
    <xf numFmtId="0" fontId="10" fillId="0" borderId="2" xfId="3" applyFont="1" applyBorder="1" applyAlignment="1">
      <alignment horizontal="left" wrapText="1"/>
    </xf>
    <xf numFmtId="0" fontId="17" fillId="0" borderId="4" xfId="3" applyFont="1" applyBorder="1" applyAlignment="1">
      <alignment horizontal="left" vertical="top" wrapText="1"/>
    </xf>
    <xf numFmtId="0" fontId="10" fillId="0" borderId="4" xfId="3" applyFont="1" applyBorder="1" applyAlignment="1">
      <alignment horizontal="left" wrapText="1"/>
    </xf>
    <xf numFmtId="0" fontId="17" fillId="0" borderId="62" xfId="3" applyFont="1" applyBorder="1" applyAlignment="1">
      <alignment horizontal="left" vertical="top" wrapText="1"/>
    </xf>
    <xf numFmtId="0" fontId="10" fillId="0" borderId="4" xfId="3" applyFont="1" applyBorder="1" applyAlignment="1">
      <alignment horizontal="left" vertical="top" wrapText="1"/>
    </xf>
    <xf numFmtId="0" fontId="17" fillId="0" borderId="16" xfId="3" applyFont="1" applyBorder="1" applyAlignment="1">
      <alignment horizontal="left" vertical="top" wrapText="1"/>
    </xf>
    <xf numFmtId="0" fontId="10" fillId="0" borderId="17" xfId="3" applyFont="1" applyBorder="1" applyAlignment="1">
      <alignment horizontal="left" vertical="top" wrapText="1"/>
    </xf>
    <xf numFmtId="0" fontId="17" fillId="0" borderId="17" xfId="3" applyFont="1" applyBorder="1" applyAlignment="1">
      <alignment horizontal="left" vertical="top" wrapText="1"/>
    </xf>
    <xf numFmtId="0" fontId="10" fillId="0" borderId="17" xfId="3" applyFont="1" applyBorder="1" applyAlignment="1">
      <alignment horizontal="left" wrapText="1"/>
    </xf>
    <xf numFmtId="0" fontId="17" fillId="13" borderId="2" xfId="3" quotePrefix="1" applyFont="1" applyFill="1" applyBorder="1" applyAlignment="1">
      <alignment horizontal="left" vertical="top" wrapText="1" indent="2"/>
    </xf>
    <xf numFmtId="0" fontId="10" fillId="13" borderId="2" xfId="3" applyFont="1" applyFill="1" applyBorder="1" applyAlignment="1">
      <alignment horizontal="left" wrapText="1"/>
    </xf>
    <xf numFmtId="0" fontId="17" fillId="0" borderId="2" xfId="5" applyNumberFormat="1" applyFont="1" applyFill="1" applyBorder="1" applyAlignment="1" applyProtection="1">
      <alignment horizontal="left" vertical="center"/>
    </xf>
    <xf numFmtId="0" fontId="10" fillId="0" borderId="2" xfId="5" applyNumberFormat="1" applyFont="1" applyFill="1" applyBorder="1" applyAlignment="1" applyProtection="1">
      <alignment horizontal="left"/>
    </xf>
    <xf numFmtId="0" fontId="17" fillId="0" borderId="2" xfId="5" applyNumberFormat="1" applyFont="1" applyFill="1" applyBorder="1" applyAlignment="1" applyProtection="1">
      <alignment horizontal="left" vertical="center" wrapText="1"/>
    </xf>
    <xf numFmtId="0" fontId="20" fillId="0" borderId="0" xfId="1" applyFont="1"/>
    <xf numFmtId="0" fontId="21" fillId="14" borderId="6" xfId="1" applyFont="1" applyFill="1" applyBorder="1" applyAlignment="1">
      <alignment horizontal="center"/>
    </xf>
    <xf numFmtId="0" fontId="21" fillId="14" borderId="5" xfId="1" applyFont="1" applyFill="1" applyBorder="1" applyAlignment="1">
      <alignment horizontal="center"/>
    </xf>
    <xf numFmtId="0" fontId="21" fillId="0" borderId="0" xfId="1" applyFont="1" applyAlignment="1">
      <alignment horizontal="center"/>
    </xf>
    <xf numFmtId="0" fontId="24" fillId="15" borderId="40" xfId="1" applyFont="1" applyFill="1" applyBorder="1" applyAlignment="1">
      <alignment horizontal="left" vertical="center"/>
    </xf>
    <xf numFmtId="0" fontId="18" fillId="15" borderId="41" xfId="1" applyFont="1" applyFill="1" applyBorder="1" applyAlignment="1">
      <alignment horizontal="left" vertical="center"/>
    </xf>
    <xf numFmtId="0" fontId="18" fillId="15" borderId="48" xfId="1" applyFont="1" applyFill="1" applyBorder="1" applyAlignment="1">
      <alignment horizontal="left" vertical="center"/>
    </xf>
    <xf numFmtId="0" fontId="18" fillId="0" borderId="0" xfId="1" applyFont="1" applyAlignment="1">
      <alignment horizontal="left" vertical="center"/>
    </xf>
    <xf numFmtId="0" fontId="10" fillId="0" borderId="7" xfId="1" applyFont="1" applyBorder="1" applyAlignment="1">
      <alignment horizontal="center" vertical="center"/>
    </xf>
    <xf numFmtId="0" fontId="10" fillId="0" borderId="8" xfId="1" applyFont="1" applyBorder="1" applyAlignment="1">
      <alignment vertical="center"/>
    </xf>
    <xf numFmtId="0" fontId="10" fillId="0" borderId="9" xfId="1" applyFont="1" applyBorder="1" applyAlignment="1">
      <alignment vertical="center" wrapText="1"/>
    </xf>
    <xf numFmtId="0" fontId="10" fillId="0" borderId="0" xfId="1" applyFont="1" applyAlignment="1">
      <alignment vertical="center"/>
    </xf>
    <xf numFmtId="0" fontId="10" fillId="0" borderId="10" xfId="1" applyFont="1" applyBorder="1" applyAlignment="1">
      <alignment horizontal="center" vertical="center"/>
    </xf>
    <xf numFmtId="0" fontId="10" fillId="0" borderId="11" xfId="1" applyFont="1" applyBorder="1" applyAlignment="1">
      <alignment vertical="center"/>
    </xf>
    <xf numFmtId="0" fontId="10" fillId="0" borderId="12" xfId="1" applyFont="1" applyBorder="1" applyAlignment="1">
      <alignment vertical="center" wrapText="1"/>
    </xf>
    <xf numFmtId="0" fontId="10" fillId="0" borderId="0" xfId="1" applyFont="1" applyAlignment="1">
      <alignment vertical="center" wrapText="1"/>
    </xf>
    <xf numFmtId="0" fontId="10" fillId="0" borderId="13" xfId="1" applyFont="1" applyBorder="1" applyAlignment="1">
      <alignment horizontal="center" vertical="center"/>
    </xf>
    <xf numFmtId="0" fontId="10" fillId="0" borderId="14" xfId="1" applyFont="1" applyBorder="1" applyAlignment="1">
      <alignment vertical="center"/>
    </xf>
    <xf numFmtId="0" fontId="10" fillId="0" borderId="15" xfId="1" applyFont="1" applyBorder="1" applyAlignment="1">
      <alignment vertical="center" wrapText="1"/>
    </xf>
    <xf numFmtId="0" fontId="24" fillId="15" borderId="6" xfId="1" applyFont="1" applyFill="1" applyBorder="1" applyAlignment="1">
      <alignment horizontal="left" vertical="center"/>
    </xf>
    <xf numFmtId="0" fontId="18" fillId="15" borderId="34" xfId="1" applyFont="1" applyFill="1" applyBorder="1" applyAlignment="1">
      <alignment horizontal="left" vertical="center"/>
    </xf>
    <xf numFmtId="0" fontId="18" fillId="15" borderId="5" xfId="1" applyFont="1" applyFill="1" applyBorder="1" applyAlignment="1">
      <alignment horizontal="left" vertical="center"/>
    </xf>
    <xf numFmtId="0" fontId="10" fillId="0" borderId="16" xfId="1" applyFont="1" applyBorder="1" applyAlignment="1">
      <alignment horizontal="center" vertical="center"/>
    </xf>
    <xf numFmtId="0" fontId="10" fillId="0" borderId="17" xfId="1" applyFont="1" applyBorder="1" applyAlignment="1">
      <alignment vertical="center"/>
    </xf>
    <xf numFmtId="0" fontId="10" fillId="0" borderId="18" xfId="1" applyFont="1" applyBorder="1" applyAlignment="1">
      <alignment vertical="center" wrapText="1"/>
    </xf>
    <xf numFmtId="0" fontId="21" fillId="14" borderId="2" xfId="3" applyFont="1" applyFill="1" applyBorder="1" applyAlignment="1">
      <alignment vertical="top" wrapText="1"/>
    </xf>
    <xf numFmtId="0" fontId="10" fillId="0" borderId="2" xfId="3" applyFont="1" applyBorder="1" applyAlignment="1" applyProtection="1">
      <alignment vertical="top" wrapText="1"/>
      <protection locked="0"/>
    </xf>
    <xf numFmtId="1" fontId="21" fillId="16" borderId="2" xfId="4" applyNumberFormat="1" applyFont="1" applyFill="1" applyBorder="1" applyAlignment="1" applyProtection="1">
      <alignment vertical="top" wrapText="1"/>
    </xf>
    <xf numFmtId="0" fontId="10" fillId="4" borderId="2" xfId="3" applyFont="1" applyFill="1" applyBorder="1" applyAlignment="1" applyProtection="1">
      <alignment vertical="top" wrapText="1"/>
      <protection locked="0"/>
    </xf>
    <xf numFmtId="0" fontId="21" fillId="14" borderId="2" xfId="5" applyNumberFormat="1" applyFont="1" applyFill="1" applyBorder="1" applyAlignment="1">
      <alignment vertical="top"/>
    </xf>
    <xf numFmtId="0" fontId="10" fillId="0" borderId="2" xfId="5" applyNumberFormat="1" applyFont="1" applyFill="1" applyBorder="1" applyAlignment="1" applyProtection="1">
      <alignment vertical="top" wrapText="1"/>
      <protection locked="0"/>
    </xf>
    <xf numFmtId="0" fontId="10" fillId="0" borderId="11" xfId="1" applyFont="1" applyBorder="1" applyAlignment="1">
      <alignment vertical="center" wrapText="1"/>
    </xf>
    <xf numFmtId="0" fontId="10" fillId="0" borderId="38" xfId="1" applyFont="1" applyBorder="1" applyAlignment="1">
      <alignment vertical="center"/>
    </xf>
    <xf numFmtId="0" fontId="10" fillId="0" borderId="39" xfId="1" applyFont="1" applyBorder="1" applyAlignment="1">
      <alignment vertical="center" wrapText="1"/>
    </xf>
    <xf numFmtId="0" fontId="10" fillId="0" borderId="17" xfId="1" applyFont="1" applyBorder="1" applyAlignment="1">
      <alignment horizontal="center" vertical="center"/>
    </xf>
    <xf numFmtId="0" fontId="17" fillId="0" borderId="0" xfId="1" applyFont="1"/>
    <xf numFmtId="0" fontId="21" fillId="14" borderId="34" xfId="1" applyFont="1" applyFill="1" applyBorder="1" applyAlignment="1">
      <alignment horizontal="center"/>
    </xf>
    <xf numFmtId="0" fontId="21" fillId="14" borderId="21" xfId="1" applyFont="1" applyFill="1" applyBorder="1" applyAlignment="1">
      <alignment horizontal="center"/>
    </xf>
    <xf numFmtId="0" fontId="4" fillId="0" borderId="0" xfId="0" applyFont="1" applyAlignment="1">
      <alignment horizontal="center" vertical="center"/>
    </xf>
    <xf numFmtId="0" fontId="10" fillId="0" borderId="63" xfId="1" applyFont="1" applyBorder="1" applyAlignment="1">
      <alignment vertical="center"/>
    </xf>
    <xf numFmtId="0" fontId="10" fillId="0" borderId="21" xfId="1" applyFont="1" applyBorder="1" applyAlignment="1">
      <alignment vertical="center"/>
    </xf>
    <xf numFmtId="0" fontId="10" fillId="0" borderId="64" xfId="1" applyFont="1" applyBorder="1" applyAlignment="1">
      <alignment vertical="center" wrapText="1"/>
    </xf>
    <xf numFmtId="0" fontId="10" fillId="0" borderId="65" xfId="1" applyFont="1" applyBorder="1" applyAlignment="1">
      <alignment vertical="center" wrapText="1"/>
    </xf>
    <xf numFmtId="0" fontId="20" fillId="15" borderId="0" xfId="0" applyFont="1" applyFill="1"/>
    <xf numFmtId="0" fontId="10" fillId="15" borderId="0" xfId="0" applyFont="1" applyFill="1"/>
    <xf numFmtId="0" fontId="10" fillId="15" borderId="0" xfId="0" applyFont="1" applyFill="1" applyAlignment="1">
      <alignment horizontal="center"/>
    </xf>
    <xf numFmtId="0" fontId="21" fillId="14" borderId="2" xfId="0" applyFont="1" applyFill="1" applyBorder="1" applyAlignment="1">
      <alignment horizontal="center"/>
    </xf>
    <xf numFmtId="0" fontId="10" fillId="0" borderId="0" xfId="0" applyFont="1"/>
    <xf numFmtId="0" fontId="10" fillId="0" borderId="0" xfId="0" applyFont="1" applyAlignment="1">
      <alignment horizontal="center"/>
    </xf>
    <xf numFmtId="0" fontId="10" fillId="0" borderId="2" xfId="0" applyFont="1" applyBorder="1"/>
    <xf numFmtId="0" fontId="20" fillId="15" borderId="0" xfId="0" applyFont="1" applyFill="1" applyAlignment="1">
      <alignment horizontal="center"/>
    </xf>
    <xf numFmtId="0" fontId="10" fillId="0" borderId="2" xfId="0" applyFont="1" applyBorder="1" applyAlignment="1">
      <alignment horizontal="center"/>
    </xf>
    <xf numFmtId="0" fontId="10" fillId="0" borderId="0" xfId="1" applyFont="1" applyAlignment="1">
      <alignment horizontal="center"/>
    </xf>
    <xf numFmtId="0" fontId="21" fillId="14" borderId="66" xfId="1" applyFont="1" applyFill="1" applyBorder="1" applyAlignment="1">
      <alignment horizontal="center" vertical="center"/>
    </xf>
    <xf numFmtId="0" fontId="10" fillId="0" borderId="38" xfId="1" applyFont="1" applyBorder="1" applyAlignment="1">
      <alignment vertical="center" wrapText="1"/>
    </xf>
    <xf numFmtId="0" fontId="10" fillId="0" borderId="38" xfId="0" applyFont="1" applyBorder="1" applyAlignment="1">
      <alignment horizontal="center" vertical="center"/>
    </xf>
    <xf numFmtId="0" fontId="10" fillId="0" borderId="67" xfId="1" applyFont="1" applyBorder="1" applyAlignment="1">
      <alignment vertical="center"/>
    </xf>
    <xf numFmtId="0" fontId="10" fillId="0" borderId="67" xfId="1" applyFont="1" applyBorder="1" applyAlignment="1">
      <alignment vertical="center" wrapText="1"/>
    </xf>
    <xf numFmtId="0" fontId="10" fillId="0" borderId="67" xfId="0" applyFont="1" applyBorder="1" applyAlignment="1">
      <alignment horizontal="center" vertical="center"/>
    </xf>
    <xf numFmtId="0" fontId="20" fillId="0" borderId="0" xfId="0" applyFont="1"/>
    <xf numFmtId="0" fontId="20" fillId="0" borderId="0" xfId="0" applyFont="1" applyAlignment="1">
      <alignment horizontal="center" wrapText="1"/>
    </xf>
    <xf numFmtId="16" fontId="10" fillId="0" borderId="0" xfId="0" quotePrefix="1" applyNumberFormat="1" applyFont="1"/>
    <xf numFmtId="0" fontId="20" fillId="0" borderId="20" xfId="1" applyFont="1" applyBorder="1" applyAlignment="1" applyProtection="1">
      <alignment horizontal="left"/>
      <protection locked="0"/>
    </xf>
    <xf numFmtId="0" fontId="25" fillId="0" borderId="0" xfId="0" applyFont="1"/>
    <xf numFmtId="0" fontId="10" fillId="0" borderId="0" xfId="1" applyFont="1" applyProtection="1">
      <protection locked="0"/>
    </xf>
    <xf numFmtId="0" fontId="10" fillId="0" borderId="0" xfId="1" applyFont="1" applyProtection="1">
      <protection locked="0" hidden="1"/>
    </xf>
    <xf numFmtId="0" fontId="20" fillId="0" borderId="0" xfId="1" applyFont="1" applyAlignment="1" applyProtection="1">
      <alignment horizontal="center"/>
      <protection locked="0" hidden="1"/>
    </xf>
    <xf numFmtId="0" fontId="15" fillId="0" borderId="0" xfId="1" applyFont="1" applyAlignment="1" applyProtection="1">
      <alignment horizontal="center" vertical="center" wrapText="1"/>
      <protection locked="0" hidden="1"/>
    </xf>
    <xf numFmtId="0" fontId="10" fillId="0" borderId="0" xfId="1" applyFont="1" applyAlignment="1" applyProtection="1">
      <alignment horizontal="center"/>
      <protection locked="0" hidden="1"/>
    </xf>
    <xf numFmtId="0" fontId="10" fillId="0" borderId="0" xfId="1" applyFont="1" applyAlignment="1" applyProtection="1">
      <alignment horizontal="center"/>
      <protection locked="0"/>
    </xf>
    <xf numFmtId="0" fontId="18" fillId="0" borderId="0" xfId="1" applyFont="1" applyAlignment="1" applyProtection="1">
      <alignment horizontal="center"/>
      <protection locked="0"/>
    </xf>
    <xf numFmtId="0" fontId="26" fillId="0" borderId="0" xfId="1" applyFont="1" applyAlignment="1" applyProtection="1">
      <alignment horizontal="center"/>
      <protection locked="0" hidden="1"/>
    </xf>
    <xf numFmtId="0" fontId="18" fillId="0" borderId="0" xfId="1" applyFont="1" applyAlignment="1" applyProtection="1">
      <alignment horizontal="center" wrapText="1"/>
      <protection locked="0"/>
    </xf>
    <xf numFmtId="0" fontId="19" fillId="0" borderId="0" xfId="1" applyFont="1" applyAlignment="1" applyProtection="1">
      <alignment vertical="center"/>
      <protection locked="0"/>
    </xf>
    <xf numFmtId="0" fontId="19" fillId="0" borderId="0" xfId="1" applyFont="1" applyAlignment="1" applyProtection="1">
      <alignment vertical="center" wrapText="1"/>
      <protection locked="0"/>
    </xf>
    <xf numFmtId="0" fontId="15" fillId="0" borderId="48" xfId="1" applyFont="1" applyBorder="1" applyAlignment="1" applyProtection="1">
      <alignment horizontal="center" vertical="center" wrapText="1"/>
      <protection locked="0" hidden="1"/>
    </xf>
    <xf numFmtId="0" fontId="10" fillId="0" borderId="50" xfId="1" applyFont="1" applyBorder="1" applyProtection="1">
      <protection locked="0" hidden="1"/>
    </xf>
    <xf numFmtId="0" fontId="10" fillId="0" borderId="51" xfId="1" applyFont="1" applyBorder="1" applyProtection="1">
      <protection locked="0" hidden="1"/>
    </xf>
    <xf numFmtId="0" fontId="10" fillId="0" borderId="52" xfId="1" applyFont="1" applyBorder="1" applyProtection="1">
      <protection locked="0" hidden="1"/>
    </xf>
    <xf numFmtId="0" fontId="10" fillId="0" borderId="53" xfId="1" applyFont="1" applyBorder="1" applyProtection="1">
      <protection locked="0" hidden="1"/>
    </xf>
    <xf numFmtId="0" fontId="10" fillId="0" borderId="54" xfId="1" applyFont="1" applyBorder="1" applyProtection="1">
      <protection locked="0" hidden="1"/>
    </xf>
    <xf numFmtId="0" fontId="10" fillId="0" borderId="23" xfId="1" applyFont="1" applyBorder="1" applyProtection="1">
      <protection locked="0" hidden="1"/>
    </xf>
    <xf numFmtId="0" fontId="10" fillId="0" borderId="21" xfId="1" applyFont="1" applyBorder="1" applyProtection="1">
      <protection locked="0" hidden="1"/>
    </xf>
    <xf numFmtId="0" fontId="10" fillId="0" borderId="22" xfId="1" applyFont="1" applyBorder="1" applyProtection="1">
      <protection locked="0" hidden="1"/>
    </xf>
    <xf numFmtId="0" fontId="10" fillId="0" borderId="24" xfId="1" applyFont="1" applyBorder="1" applyProtection="1">
      <protection locked="0" hidden="1"/>
    </xf>
    <xf numFmtId="0" fontId="26" fillId="0" borderId="57" xfId="1" applyFont="1" applyBorder="1" applyAlignment="1" applyProtection="1">
      <alignment horizontal="center"/>
      <protection locked="0" hidden="1"/>
    </xf>
    <xf numFmtId="0" fontId="10" fillId="0" borderId="0" xfId="0" applyFont="1" applyProtection="1">
      <protection locked="0"/>
    </xf>
    <xf numFmtId="0" fontId="10" fillId="0" borderId="0" xfId="1" applyFont="1" applyAlignment="1">
      <alignment horizontal="center" wrapText="1"/>
    </xf>
    <xf numFmtId="0" fontId="10" fillId="0" borderId="0" xfId="1" applyFont="1" applyAlignment="1">
      <alignment horizontal="left" wrapText="1"/>
    </xf>
    <xf numFmtId="0" fontId="10" fillId="0" borderId="0" xfId="1" applyFont="1" applyAlignment="1" applyProtection="1">
      <alignment horizontal="left" wrapText="1"/>
      <protection locked="0"/>
    </xf>
    <xf numFmtId="0" fontId="10" fillId="0" borderId="0" xfId="1" applyFont="1" applyAlignment="1">
      <alignment wrapText="1"/>
    </xf>
    <xf numFmtId="167" fontId="10" fillId="0" borderId="0" xfId="4" applyNumberFormat="1" applyFont="1" applyAlignment="1">
      <alignment wrapText="1"/>
    </xf>
    <xf numFmtId="0" fontId="10" fillId="3" borderId="0" xfId="1" applyFont="1" applyFill="1" applyAlignment="1">
      <alignment wrapText="1"/>
    </xf>
    <xf numFmtId="167" fontId="20" fillId="0" borderId="0" xfId="4" applyNumberFormat="1" applyFont="1" applyAlignment="1"/>
    <xf numFmtId="167" fontId="10" fillId="3" borderId="0" xfId="4" applyNumberFormat="1" applyFont="1" applyFill="1" applyAlignment="1">
      <alignment wrapText="1"/>
    </xf>
    <xf numFmtId="0" fontId="10" fillId="0" borderId="0" xfId="1" applyFont="1" applyAlignment="1">
      <alignment horizontal="left" vertical="top" wrapText="1"/>
    </xf>
    <xf numFmtId="0" fontId="10" fillId="0" borderId="0" xfId="1" applyFont="1" applyAlignment="1" applyProtection="1">
      <alignment horizontal="left" vertical="top" wrapText="1"/>
      <protection locked="0"/>
    </xf>
    <xf numFmtId="0" fontId="25" fillId="0" borderId="0" xfId="1" applyFont="1" applyAlignment="1">
      <alignment horizontal="left" vertical="top" wrapText="1"/>
    </xf>
    <xf numFmtId="167" fontId="25" fillId="0" borderId="0" xfId="9" applyNumberFormat="1" applyFont="1" applyAlignment="1">
      <alignment wrapText="1"/>
    </xf>
    <xf numFmtId="0" fontId="10" fillId="2" borderId="26" xfId="3" applyFont="1" applyFill="1" applyBorder="1" applyAlignment="1" applyProtection="1">
      <alignment horizontal="center" vertical="center" wrapText="1"/>
      <protection hidden="1"/>
    </xf>
    <xf numFmtId="0" fontId="10" fillId="2" borderId="25" xfId="3" quotePrefix="1" applyFont="1" applyFill="1" applyBorder="1" applyAlignment="1" applyProtection="1">
      <alignment horizontal="left" vertical="center"/>
      <protection hidden="1"/>
    </xf>
    <xf numFmtId="165" fontId="10" fillId="2" borderId="26" xfId="9" applyFont="1" applyFill="1" applyBorder="1" applyAlignment="1" applyProtection="1">
      <alignment horizontal="left" vertical="center" wrapText="1"/>
      <protection hidden="1"/>
    </xf>
    <xf numFmtId="0" fontId="10" fillId="0" borderId="26" xfId="3" applyFont="1" applyBorder="1" applyAlignment="1" applyProtection="1">
      <alignment horizontal="left" vertical="center" wrapText="1"/>
      <protection locked="0"/>
    </xf>
    <xf numFmtId="0" fontId="10" fillId="0" borderId="26" xfId="3" applyFont="1" applyBorder="1" applyAlignment="1" applyProtection="1">
      <alignment horizontal="center" vertical="center" wrapText="1"/>
      <protection locked="0"/>
    </xf>
    <xf numFmtId="0" fontId="10" fillId="2" borderId="26" xfId="9" applyNumberFormat="1" applyFont="1" applyFill="1" applyBorder="1" applyAlignment="1" applyProtection="1">
      <alignment horizontal="left" vertical="center" wrapText="1"/>
      <protection hidden="1"/>
    </xf>
    <xf numFmtId="165" fontId="10" fillId="2" borderId="37" xfId="9" applyFont="1" applyFill="1" applyBorder="1" applyAlignment="1" applyProtection="1">
      <alignment horizontal="left" vertical="center" wrapText="1"/>
      <protection hidden="1"/>
    </xf>
    <xf numFmtId="0" fontId="10" fillId="2" borderId="37" xfId="9" applyNumberFormat="1" applyFont="1" applyFill="1" applyBorder="1" applyAlignment="1" applyProtection="1">
      <alignment horizontal="left" vertical="center" wrapText="1"/>
      <protection hidden="1"/>
    </xf>
    <xf numFmtId="0" fontId="10" fillId="0" borderId="37" xfId="3" quotePrefix="1" applyFont="1" applyBorder="1" applyAlignment="1" applyProtection="1">
      <alignment horizontal="center" vertical="center" wrapText="1"/>
      <protection locked="0"/>
    </xf>
    <xf numFmtId="0" fontId="20" fillId="2" borderId="0" xfId="0" quotePrefix="1" applyFont="1" applyFill="1" applyAlignment="1">
      <alignment horizontal="center" vertical="center"/>
    </xf>
    <xf numFmtId="0" fontId="10" fillId="0" borderId="27" xfId="3" applyFont="1" applyBorder="1" applyAlignment="1" applyProtection="1">
      <alignment horizontal="left" vertical="center" wrapText="1"/>
      <protection locked="0"/>
    </xf>
    <xf numFmtId="167" fontId="10" fillId="0" borderId="26" xfId="4" applyNumberFormat="1" applyFont="1" applyFill="1" applyBorder="1" applyAlignment="1" applyProtection="1">
      <alignment horizontal="left" vertical="center" wrapText="1"/>
      <protection locked="0"/>
    </xf>
    <xf numFmtId="167" fontId="15" fillId="4" borderId="26" xfId="4" applyNumberFormat="1" applyFont="1" applyFill="1" applyBorder="1" applyAlignment="1" applyProtection="1">
      <alignment horizontal="left" vertical="center" wrapText="1"/>
      <protection hidden="1"/>
    </xf>
    <xf numFmtId="167" fontId="10" fillId="3" borderId="0" xfId="4" applyNumberFormat="1" applyFont="1" applyFill="1" applyAlignment="1">
      <alignment horizontal="left" vertical="center" wrapText="1"/>
    </xf>
    <xf numFmtId="167" fontId="10" fillId="0" borderId="0" xfId="4" applyNumberFormat="1" applyFont="1" applyFill="1" applyAlignment="1">
      <alignment horizontal="left" vertical="center" wrapText="1"/>
    </xf>
    <xf numFmtId="167" fontId="10" fillId="0" borderId="26" xfId="5" quotePrefix="1" applyNumberFormat="1" applyFont="1" applyFill="1" applyBorder="1" applyAlignment="1" applyProtection="1">
      <alignment horizontal="left" vertical="center" wrapText="1"/>
      <protection locked="0"/>
    </xf>
    <xf numFmtId="167" fontId="10" fillId="4" borderId="26" xfId="5" quotePrefix="1" applyNumberFormat="1" applyFont="1" applyFill="1" applyBorder="1" applyAlignment="1" applyProtection="1">
      <alignment horizontal="left" vertical="center" wrapText="1"/>
      <protection hidden="1"/>
    </xf>
    <xf numFmtId="168" fontId="10" fillId="0" borderId="26" xfId="5" quotePrefix="1" applyNumberFormat="1" applyFont="1" applyFill="1" applyBorder="1" applyAlignment="1" applyProtection="1">
      <alignment horizontal="left" vertical="center" wrapText="1"/>
      <protection locked="0"/>
    </xf>
    <xf numFmtId="167" fontId="10" fillId="0" borderId="26" xfId="5" applyNumberFormat="1" applyFont="1" applyFill="1" applyBorder="1" applyAlignment="1" applyProtection="1">
      <alignment horizontal="left" vertical="center" wrapText="1"/>
      <protection locked="0"/>
    </xf>
    <xf numFmtId="0" fontId="10" fillId="0" borderId="0" xfId="1" applyFont="1" applyAlignment="1">
      <alignment horizontal="left" vertical="center" wrapText="1"/>
    </xf>
    <xf numFmtId="167" fontId="10" fillId="0" borderId="26" xfId="4" applyNumberFormat="1" applyFont="1" applyFill="1" applyBorder="1" applyAlignment="1" applyProtection="1">
      <alignment vertical="center" wrapText="1"/>
      <protection locked="0"/>
    </xf>
    <xf numFmtId="0" fontId="10" fillId="0" borderId="26" xfId="3" applyFont="1" applyBorder="1" applyAlignment="1" applyProtection="1">
      <alignment horizontal="left" wrapText="1"/>
      <protection locked="0"/>
    </xf>
    <xf numFmtId="0" fontId="10" fillId="0" borderId="27" xfId="3" applyFont="1" applyBorder="1" applyAlignment="1" applyProtection="1">
      <alignment horizontal="left" wrapText="1"/>
      <protection locked="0"/>
    </xf>
    <xf numFmtId="0" fontId="10" fillId="0" borderId="0" xfId="1" applyFont="1" applyAlignment="1" applyProtection="1">
      <alignment horizontal="center" wrapText="1"/>
      <protection locked="0"/>
    </xf>
    <xf numFmtId="0" fontId="10" fillId="0" borderId="0" xfId="1" applyFont="1" applyAlignment="1" applyProtection="1">
      <alignment wrapText="1"/>
      <protection locked="0"/>
    </xf>
    <xf numFmtId="0" fontId="10" fillId="14" borderId="74" xfId="1" applyFont="1" applyFill="1" applyBorder="1" applyAlignment="1">
      <alignment horizontal="center" wrapText="1"/>
    </xf>
    <xf numFmtId="0" fontId="10" fillId="14" borderId="75" xfId="1" applyFont="1" applyFill="1" applyBorder="1" applyAlignment="1">
      <alignment horizontal="center" wrapText="1"/>
    </xf>
    <xf numFmtId="0" fontId="10" fillId="14" borderId="75" xfId="1" applyFont="1" applyFill="1" applyBorder="1" applyAlignment="1">
      <alignment horizontal="left" wrapText="1"/>
    </xf>
    <xf numFmtId="0" fontId="10" fillId="14" borderId="76" xfId="1" applyFont="1" applyFill="1" applyBorder="1" applyAlignment="1">
      <alignment horizontal="left" wrapText="1"/>
    </xf>
    <xf numFmtId="0" fontId="10" fillId="14" borderId="74" xfId="1" applyFont="1" applyFill="1" applyBorder="1" applyAlignment="1">
      <alignment horizontal="left" wrapText="1"/>
    </xf>
    <xf numFmtId="0" fontId="10" fillId="14" borderId="75" xfId="1" applyFont="1" applyFill="1" applyBorder="1" applyAlignment="1" applyProtection="1">
      <alignment horizontal="left" wrapText="1"/>
      <protection locked="0"/>
    </xf>
    <xf numFmtId="0" fontId="10" fillId="14" borderId="75" xfId="1" applyFont="1" applyFill="1" applyBorder="1" applyAlignment="1">
      <alignment wrapText="1"/>
    </xf>
    <xf numFmtId="167" fontId="21" fillId="14" borderId="25" xfId="4" applyNumberFormat="1" applyFont="1" applyFill="1" applyBorder="1" applyAlignment="1">
      <alignment horizontal="centerContinuous"/>
    </xf>
    <xf numFmtId="167" fontId="28" fillId="14" borderId="25" xfId="4" applyNumberFormat="1" applyFont="1" applyFill="1" applyBorder="1" applyAlignment="1">
      <alignment horizontal="centerContinuous" wrapText="1"/>
    </xf>
    <xf numFmtId="167" fontId="10" fillId="3" borderId="25" xfId="4" applyNumberFormat="1" applyFont="1" applyFill="1" applyBorder="1" applyAlignment="1">
      <alignment wrapText="1"/>
    </xf>
    <xf numFmtId="167" fontId="28" fillId="14" borderId="77" xfId="4" applyNumberFormat="1" applyFont="1" applyFill="1" applyBorder="1" applyAlignment="1">
      <alignment horizontal="centerContinuous" wrapText="1"/>
    </xf>
    <xf numFmtId="0" fontId="21" fillId="14" borderId="78" xfId="0" applyFont="1" applyFill="1" applyBorder="1" applyAlignment="1">
      <alignment horizontal="center" vertical="center" wrapText="1"/>
    </xf>
    <xf numFmtId="0" fontId="21" fillId="14" borderId="25" xfId="0" applyFont="1" applyFill="1" applyBorder="1" applyAlignment="1">
      <alignment horizontal="center" vertical="center" wrapText="1"/>
    </xf>
    <xf numFmtId="0" fontId="21" fillId="14" borderId="25" xfId="0" applyFont="1" applyFill="1" applyBorder="1" applyAlignment="1" applyProtection="1">
      <alignment horizontal="center" vertical="center" wrapText="1"/>
      <protection locked="0"/>
    </xf>
    <xf numFmtId="0" fontId="21" fillId="14" borderId="26" xfId="0" applyFont="1" applyFill="1" applyBorder="1" applyAlignment="1">
      <alignment horizontal="center" vertical="center" wrapText="1"/>
    </xf>
    <xf numFmtId="167" fontId="10" fillId="3" borderId="26" xfId="4" applyNumberFormat="1" applyFont="1" applyFill="1" applyBorder="1" applyAlignment="1">
      <alignment horizontal="center" vertical="center" wrapText="1"/>
    </xf>
    <xf numFmtId="0" fontId="17" fillId="7" borderId="60" xfId="5" applyNumberFormat="1" applyFont="1" applyFill="1" applyBorder="1" applyAlignment="1">
      <alignment horizontal="center" vertical="center" wrapText="1"/>
    </xf>
    <xf numFmtId="0" fontId="17" fillId="7" borderId="0" xfId="5" applyNumberFormat="1" applyFont="1" applyFill="1" applyBorder="1" applyAlignment="1">
      <alignment horizontal="center" vertical="center" wrapText="1"/>
    </xf>
    <xf numFmtId="0" fontId="17" fillId="7" borderId="60" xfId="5" applyNumberFormat="1" applyFont="1" applyFill="1" applyBorder="1" applyAlignment="1" applyProtection="1">
      <alignment horizontal="center" vertical="center" wrapText="1"/>
      <protection locked="0"/>
    </xf>
    <xf numFmtId="0" fontId="10" fillId="0" borderId="0" xfId="1" applyFont="1" applyAlignment="1">
      <alignment horizontal="center" vertical="center" wrapText="1"/>
    </xf>
    <xf numFmtId="0" fontId="10" fillId="0" borderId="0" xfId="0" applyFont="1" applyAlignment="1">
      <alignment wrapText="1"/>
    </xf>
    <xf numFmtId="167" fontId="10" fillId="0" borderId="0" xfId="9" applyNumberFormat="1" applyFont="1"/>
    <xf numFmtId="0" fontId="10" fillId="0" borderId="0" xfId="0" applyFont="1" applyProtection="1">
      <protection hidden="1"/>
    </xf>
    <xf numFmtId="0" fontId="29" fillId="0" borderId="0" xfId="1" applyFont="1" applyAlignment="1">
      <alignment horizontal="center" vertical="center" wrapText="1"/>
    </xf>
    <xf numFmtId="0" fontId="17" fillId="7" borderId="22" xfId="5" applyNumberFormat="1" applyFont="1" applyFill="1" applyBorder="1" applyAlignment="1">
      <alignment horizontal="center" vertical="center" wrapText="1"/>
    </xf>
    <xf numFmtId="0" fontId="20" fillId="0" borderId="0" xfId="1" applyFont="1" applyAlignment="1" applyProtection="1">
      <alignment horizontal="center" vertical="center" wrapText="1"/>
      <protection hidden="1"/>
    </xf>
    <xf numFmtId="0" fontId="10" fillId="2" borderId="25" xfId="3" applyFont="1" applyFill="1" applyBorder="1" applyAlignment="1" applyProtection="1">
      <alignment horizontal="left"/>
      <protection hidden="1"/>
    </xf>
    <xf numFmtId="165" fontId="10" fillId="2" borderId="26" xfId="4" applyFont="1" applyFill="1" applyBorder="1" applyAlignment="1" applyProtection="1">
      <alignment vertical="center"/>
      <protection hidden="1"/>
    </xf>
    <xf numFmtId="165" fontId="10" fillId="0" borderId="26" xfId="4" applyFont="1" applyFill="1" applyBorder="1" applyAlignment="1" applyProtection="1">
      <alignment vertical="center"/>
      <protection locked="0"/>
    </xf>
    <xf numFmtId="165" fontId="10" fillId="2" borderId="26" xfId="4" applyFont="1" applyFill="1" applyBorder="1" applyAlignment="1" applyProtection="1">
      <alignment horizontal="left" vertical="center"/>
      <protection hidden="1"/>
    </xf>
    <xf numFmtId="0" fontId="10" fillId="2" borderId="26" xfId="4" applyNumberFormat="1" applyFont="1" applyFill="1" applyBorder="1" applyAlignment="1" applyProtection="1">
      <alignment horizontal="left" vertical="center"/>
      <protection hidden="1"/>
    </xf>
    <xf numFmtId="164" fontId="10" fillId="2" borderId="26" xfId="7" applyFont="1" applyFill="1" applyBorder="1" applyAlignment="1" applyProtection="1">
      <alignment vertical="center"/>
      <protection hidden="1"/>
    </xf>
    <xf numFmtId="164" fontId="10" fillId="0" borderId="26" xfId="7" applyFont="1" applyFill="1" applyBorder="1" applyAlignment="1" applyProtection="1">
      <alignment vertical="center"/>
      <protection locked="0"/>
    </xf>
    <xf numFmtId="164" fontId="10" fillId="2" borderId="25" xfId="7" applyFont="1" applyFill="1" applyBorder="1" applyAlignment="1" applyProtection="1">
      <protection hidden="1"/>
    </xf>
    <xf numFmtId="167" fontId="10" fillId="3" borderId="26" xfId="5" applyNumberFormat="1" applyFont="1" applyFill="1" applyBorder="1" applyAlignment="1" applyProtection="1">
      <alignment horizontal="left" vertical="center" wrapText="1"/>
      <protection locked="0"/>
    </xf>
    <xf numFmtId="167" fontId="15" fillId="2" borderId="36" xfId="4" applyNumberFormat="1" applyFont="1" applyFill="1" applyBorder="1" applyAlignment="1" applyProtection="1">
      <alignment horizontal="left" vertical="center" wrapText="1"/>
      <protection hidden="1"/>
    </xf>
    <xf numFmtId="167" fontId="15" fillId="3" borderId="27" xfId="4" applyNumberFormat="1" applyFont="1" applyFill="1" applyBorder="1" applyAlignment="1" applyProtection="1">
      <alignment horizontal="left" vertical="center" wrapText="1"/>
      <protection hidden="1"/>
    </xf>
    <xf numFmtId="164" fontId="10" fillId="4" borderId="61" xfId="7" applyFont="1" applyFill="1" applyBorder="1" applyAlignment="1" applyProtection="1">
      <protection hidden="1"/>
    </xf>
    <xf numFmtId="164" fontId="10" fillId="0" borderId="26" xfId="7" applyFont="1" applyFill="1" applyBorder="1" applyAlignment="1" applyProtection="1">
      <protection hidden="1"/>
    </xf>
    <xf numFmtId="167" fontId="29" fillId="0" borderId="0" xfId="9" applyNumberFormat="1" applyFont="1" applyFill="1" applyAlignment="1">
      <alignment vertical="center"/>
    </xf>
    <xf numFmtId="164" fontId="10" fillId="4" borderId="25" xfId="7" applyFont="1" applyFill="1" applyBorder="1" applyAlignment="1" applyProtection="1">
      <protection hidden="1"/>
    </xf>
    <xf numFmtId="0" fontId="10" fillId="0" borderId="27" xfId="3" applyFont="1" applyBorder="1" applyAlignment="1" applyProtection="1">
      <alignment horizontal="left"/>
      <protection locked="0"/>
    </xf>
    <xf numFmtId="167" fontId="10" fillId="0" borderId="26" xfId="5" applyNumberFormat="1" applyFont="1" applyFill="1" applyBorder="1" applyAlignment="1" applyProtection="1">
      <alignment wrapText="1"/>
      <protection locked="0"/>
    </xf>
    <xf numFmtId="167" fontId="10" fillId="0" borderId="27" xfId="5" quotePrefix="1" applyNumberFormat="1" applyFont="1" applyFill="1" applyBorder="1" applyAlignment="1" applyProtection="1">
      <alignment horizontal="left" vertical="center" wrapText="1"/>
      <protection locked="0"/>
    </xf>
    <xf numFmtId="0" fontId="10" fillId="0" borderId="27" xfId="3" applyFont="1" applyBorder="1" applyAlignment="1" applyProtection="1">
      <alignment horizontal="center"/>
      <protection locked="0"/>
    </xf>
    <xf numFmtId="167" fontId="10" fillId="0" borderId="26" xfId="5" applyNumberFormat="1" applyFont="1" applyFill="1" applyBorder="1" applyAlignment="1" applyProtection="1">
      <protection locked="0"/>
    </xf>
    <xf numFmtId="167" fontId="10" fillId="0" borderId="26" xfId="9" applyNumberFormat="1" applyFont="1" applyFill="1" applyBorder="1" applyAlignment="1" applyProtection="1">
      <protection locked="0"/>
    </xf>
    <xf numFmtId="167" fontId="10" fillId="4" borderId="27" xfId="5" quotePrefix="1" applyNumberFormat="1" applyFont="1" applyFill="1" applyBorder="1" applyAlignment="1" applyProtection="1">
      <alignment horizontal="left" vertical="center" wrapText="1"/>
      <protection hidden="1"/>
    </xf>
    <xf numFmtId="0" fontId="10" fillId="0" borderId="36" xfId="3" applyFont="1" applyBorder="1" applyAlignment="1" applyProtection="1">
      <alignment horizontal="left"/>
      <protection locked="0"/>
    </xf>
    <xf numFmtId="0" fontId="15" fillId="0" borderId="0" xfId="1" applyFont="1" applyAlignment="1" applyProtection="1">
      <alignment vertical="center"/>
      <protection hidden="1"/>
    </xf>
    <xf numFmtId="0" fontId="10" fillId="15" borderId="25" xfId="3" applyFont="1" applyFill="1" applyBorder="1" applyAlignment="1" applyProtection="1">
      <alignment horizontal="left"/>
      <protection hidden="1"/>
    </xf>
    <xf numFmtId="0" fontId="10" fillId="2" borderId="26" xfId="9" applyNumberFormat="1" applyFont="1" applyFill="1" applyBorder="1" applyAlignment="1" applyProtection="1">
      <alignment horizontal="left" vertical="center"/>
      <protection hidden="1"/>
    </xf>
    <xf numFmtId="164" fontId="10" fillId="2" borderId="37" xfId="7" applyFont="1" applyFill="1" applyBorder="1" applyAlignment="1" applyProtection="1">
      <alignment vertical="center"/>
      <protection hidden="1"/>
    </xf>
    <xf numFmtId="0" fontId="29" fillId="0" borderId="0" xfId="0" applyFont="1"/>
    <xf numFmtId="0" fontId="21" fillId="11" borderId="17" xfId="0" applyFont="1" applyFill="1" applyBorder="1" applyAlignment="1">
      <alignment horizontal="center" vertical="center" wrapText="1"/>
    </xf>
    <xf numFmtId="0" fontId="28" fillId="0" borderId="0" xfId="0" applyFont="1"/>
    <xf numFmtId="0" fontId="30" fillId="0" borderId="0" xfId="0" applyFont="1"/>
    <xf numFmtId="0" fontId="10" fillId="0" borderId="0" xfId="0" applyFont="1" applyAlignment="1">
      <alignment vertical="center"/>
    </xf>
    <xf numFmtId="0" fontId="20" fillId="8" borderId="34" xfId="0" applyFont="1" applyFill="1" applyBorder="1" applyAlignment="1">
      <alignment horizontal="center" vertical="center"/>
    </xf>
    <xf numFmtId="0" fontId="20" fillId="8" borderId="42" xfId="0" applyFont="1" applyFill="1" applyBorder="1" applyAlignment="1">
      <alignment horizontal="center" vertical="center"/>
    </xf>
    <xf numFmtId="0" fontId="17" fillId="0" borderId="0" xfId="0" applyFont="1"/>
    <xf numFmtId="0" fontId="30" fillId="0" borderId="0" xfId="0" applyFont="1" applyAlignment="1">
      <alignment vertical="center"/>
    </xf>
    <xf numFmtId="0" fontId="15" fillId="0" borderId="0" xfId="0" applyFont="1" applyAlignment="1">
      <alignment vertical="center"/>
    </xf>
    <xf numFmtId="0" fontId="10" fillId="2" borderId="30" xfId="0" applyFont="1" applyFill="1" applyBorder="1" applyAlignment="1">
      <alignment vertical="center"/>
    </xf>
    <xf numFmtId="0" fontId="10" fillId="2" borderId="31" xfId="0" applyFont="1" applyFill="1" applyBorder="1" applyAlignment="1">
      <alignment horizontal="left" vertical="center"/>
    </xf>
    <xf numFmtId="0" fontId="10" fillId="2" borderId="30" xfId="0" applyFont="1" applyFill="1" applyBorder="1"/>
    <xf numFmtId="0" fontId="10" fillId="2" borderId="31" xfId="0" applyFont="1" applyFill="1" applyBorder="1" applyAlignment="1">
      <alignment horizontal="left"/>
    </xf>
    <xf numFmtId="0" fontId="10" fillId="2" borderId="32" xfId="0" applyFont="1" applyFill="1" applyBorder="1"/>
    <xf numFmtId="0" fontId="10" fillId="2" borderId="1" xfId="0" applyFont="1" applyFill="1" applyBorder="1"/>
    <xf numFmtId="0" fontId="10" fillId="2" borderId="33" xfId="0" applyFont="1" applyFill="1" applyBorder="1" applyAlignment="1">
      <alignment horizontal="center"/>
    </xf>
    <xf numFmtId="0" fontId="10" fillId="0" borderId="1" xfId="0" applyFont="1" applyBorder="1"/>
    <xf numFmtId="0" fontId="10" fillId="0" borderId="1" xfId="0" applyFont="1" applyBorder="1" applyAlignment="1">
      <alignment horizontal="center"/>
    </xf>
    <xf numFmtId="0" fontId="20" fillId="8" borderId="72" xfId="0" applyFont="1" applyFill="1" applyBorder="1" applyAlignment="1">
      <alignment horizontal="center" vertical="top"/>
    </xf>
    <xf numFmtId="0" fontId="20" fillId="8" borderId="2" xfId="0" applyFont="1" applyFill="1" applyBorder="1" applyAlignment="1">
      <alignment horizontal="center" vertical="top"/>
    </xf>
    <xf numFmtId="0" fontId="20" fillId="8" borderId="6" xfId="0" applyFont="1" applyFill="1" applyBorder="1" applyAlignment="1">
      <alignment horizontal="center" vertical="top"/>
    </xf>
    <xf numFmtId="0" fontId="20" fillId="8" borderId="42" xfId="0" applyFont="1" applyFill="1" applyBorder="1" applyAlignment="1">
      <alignment horizontal="center" vertical="top"/>
    </xf>
    <xf numFmtId="0" fontId="10" fillId="0" borderId="30" xfId="0" applyFont="1" applyBorder="1" applyProtection="1">
      <protection locked="0"/>
    </xf>
    <xf numFmtId="0" fontId="10" fillId="0" borderId="19" xfId="0" applyFont="1" applyBorder="1" applyProtection="1">
      <protection locked="0"/>
    </xf>
    <xf numFmtId="0" fontId="10" fillId="5" borderId="19" xfId="0" applyFont="1" applyFill="1" applyBorder="1" applyProtection="1">
      <protection locked="0"/>
    </xf>
    <xf numFmtId="0" fontId="10" fillId="0" borderId="19" xfId="0" applyFont="1" applyBorder="1"/>
    <xf numFmtId="0" fontId="10" fillId="0" borderId="73" xfId="0" applyFont="1" applyBorder="1" applyAlignment="1">
      <alignment horizontal="center"/>
    </xf>
    <xf numFmtId="0" fontId="29" fillId="5" borderId="28" xfId="0" applyFont="1" applyFill="1" applyBorder="1" applyAlignment="1">
      <alignment horizontal="center"/>
    </xf>
    <xf numFmtId="0" fontId="10" fillId="5" borderId="0" xfId="0" applyFont="1" applyFill="1" applyProtection="1">
      <protection locked="0"/>
    </xf>
    <xf numFmtId="0" fontId="10" fillId="0" borderId="31" xfId="0" applyFont="1" applyBorder="1" applyAlignment="1">
      <alignment horizontal="center"/>
    </xf>
    <xf numFmtId="0" fontId="10" fillId="0" borderId="32" xfId="0" applyFont="1" applyBorder="1" applyProtection="1">
      <protection locked="0"/>
    </xf>
    <xf numFmtId="0" fontId="10" fillId="0" borderId="1" xfId="0" applyFont="1" applyBorder="1" applyProtection="1">
      <protection locked="0"/>
    </xf>
    <xf numFmtId="0" fontId="10" fillId="5" borderId="1" xfId="0" applyFont="1" applyFill="1" applyBorder="1" applyProtection="1">
      <protection locked="0"/>
    </xf>
    <xf numFmtId="0" fontId="10" fillId="0" borderId="33" xfId="0" applyFont="1" applyBorder="1" applyAlignment="1">
      <alignment horizontal="center"/>
    </xf>
    <xf numFmtId="0" fontId="20" fillId="8" borderId="29" xfId="0" applyFont="1" applyFill="1" applyBorder="1" applyAlignment="1">
      <alignment horizontal="center" vertical="top"/>
    </xf>
    <xf numFmtId="0" fontId="10" fillId="0" borderId="3" xfId="0" applyFont="1" applyBorder="1"/>
    <xf numFmtId="0" fontId="30" fillId="0" borderId="3" xfId="0" applyFont="1" applyBorder="1" applyAlignment="1">
      <alignment vertical="center"/>
    </xf>
    <xf numFmtId="0" fontId="31" fillId="0" borderId="0" xfId="1" applyFont="1"/>
    <xf numFmtId="0" fontId="21" fillId="14" borderId="2" xfId="0" applyFont="1" applyFill="1" applyBorder="1" applyAlignment="1">
      <alignment horizontal="center" vertical="center" wrapText="1"/>
    </xf>
    <xf numFmtId="0" fontId="21" fillId="14" borderId="2" xfId="0" applyFont="1" applyFill="1" applyBorder="1" applyAlignment="1" applyProtection="1">
      <alignment horizontal="center" vertical="center" wrapText="1"/>
      <protection locked="0"/>
    </xf>
    <xf numFmtId="167" fontId="21" fillId="12" borderId="79" xfId="4" applyNumberFormat="1" applyFont="1" applyFill="1" applyBorder="1" applyAlignment="1" applyProtection="1">
      <alignment horizontal="center" vertical="center" wrapText="1"/>
    </xf>
    <xf numFmtId="167" fontId="21" fillId="12" borderId="34" xfId="4" applyNumberFormat="1" applyFont="1" applyFill="1" applyBorder="1" applyAlignment="1" applyProtection="1">
      <alignment horizontal="center" vertical="center" wrapText="1"/>
    </xf>
    <xf numFmtId="0" fontId="17" fillId="3" borderId="34" xfId="5" applyNumberFormat="1" applyFont="1" applyFill="1" applyBorder="1" applyAlignment="1" applyProtection="1">
      <alignment horizontal="center" vertical="center" wrapText="1"/>
      <protection locked="0"/>
    </xf>
    <xf numFmtId="0" fontId="21" fillId="3" borderId="2" xfId="0" applyFont="1" applyFill="1" applyBorder="1" applyAlignment="1">
      <alignment horizontal="center" vertical="center" wrapText="1"/>
    </xf>
    <xf numFmtId="0" fontId="21" fillId="0" borderId="0" xfId="1" applyFont="1" applyAlignment="1" applyProtection="1">
      <alignment horizontal="center" vertical="center" wrapText="1"/>
      <protection hidden="1"/>
    </xf>
    <xf numFmtId="0" fontId="10" fillId="17" borderId="2" xfId="0" applyFont="1" applyFill="1" applyBorder="1"/>
    <xf numFmtId="0" fontId="10" fillId="14" borderId="0" xfId="0" applyFont="1" applyFill="1" applyAlignment="1">
      <alignment vertical="center"/>
    </xf>
    <xf numFmtId="0" fontId="10" fillId="14" borderId="0" xfId="0" applyFont="1" applyFill="1" applyAlignment="1" applyProtection="1">
      <alignment vertical="center"/>
      <protection locked="0"/>
    </xf>
    <xf numFmtId="167" fontId="21" fillId="14" borderId="0" xfId="4" applyNumberFormat="1" applyFont="1" applyFill="1" applyAlignment="1">
      <alignment horizontal="centerContinuous" vertical="center"/>
    </xf>
    <xf numFmtId="167" fontId="28" fillId="14" borderId="0" xfId="4" applyNumberFormat="1" applyFont="1" applyFill="1" applyAlignment="1">
      <alignment horizontal="centerContinuous" vertical="center" wrapText="1"/>
    </xf>
    <xf numFmtId="167" fontId="10" fillId="3" borderId="0" xfId="4" applyNumberFormat="1" applyFont="1" applyFill="1" applyAlignment="1">
      <alignment vertical="center" wrapText="1"/>
    </xf>
    <xf numFmtId="0" fontId="10" fillId="0" borderId="0" xfId="0" applyFont="1" applyAlignment="1">
      <alignment vertical="center" wrapText="1"/>
    </xf>
    <xf numFmtId="167" fontId="10" fillId="0" borderId="0" xfId="9" applyNumberFormat="1" applyFont="1" applyAlignment="1">
      <alignment vertical="center"/>
    </xf>
    <xf numFmtId="167" fontId="25" fillId="0" borderId="0" xfId="9" applyNumberFormat="1" applyFont="1" applyAlignment="1">
      <alignment vertical="center" wrapText="1"/>
    </xf>
    <xf numFmtId="0" fontId="20" fillId="0" borderId="0" xfId="0" applyFont="1" applyAlignment="1">
      <alignment vertical="center"/>
    </xf>
    <xf numFmtId="0" fontId="10" fillId="0" borderId="0" xfId="0" applyFont="1" applyAlignment="1" applyProtection="1">
      <alignment vertical="center"/>
      <protection hidden="1"/>
    </xf>
    <xf numFmtId="0" fontId="32" fillId="0" borderId="0" xfId="20" quotePrefix="1" applyFont="1"/>
    <xf numFmtId="0" fontId="32" fillId="5" borderId="0" xfId="20" applyFont="1" applyFill="1" applyAlignment="1">
      <alignment horizontal="center" vertical="center"/>
    </xf>
    <xf numFmtId="0" fontId="10" fillId="2" borderId="0" xfId="1" applyFont="1" applyFill="1"/>
    <xf numFmtId="0" fontId="20" fillId="2" borderId="0" xfId="1" applyFont="1" applyFill="1" applyAlignment="1">
      <alignment horizontal="left" vertical="center"/>
    </xf>
    <xf numFmtId="0" fontId="32" fillId="2" borderId="0" xfId="2" applyFont="1" applyFill="1" applyAlignment="1">
      <alignment horizontal="center" vertical="center"/>
    </xf>
    <xf numFmtId="0" fontId="10" fillId="0" borderId="0" xfId="1" applyFont="1" applyAlignment="1">
      <alignment horizontal="center" vertical="center"/>
    </xf>
    <xf numFmtId="0" fontId="17" fillId="15" borderId="0" xfId="1" applyFont="1" applyFill="1" applyAlignment="1">
      <alignment horizontal="left" vertical="center"/>
    </xf>
    <xf numFmtId="0" fontId="32" fillId="15" borderId="0" xfId="2" applyFont="1" applyFill="1" applyAlignment="1">
      <alignment horizontal="center" vertical="center"/>
    </xf>
    <xf numFmtId="0" fontId="15" fillId="15" borderId="0" xfId="1" applyFont="1" applyFill="1"/>
    <xf numFmtId="0" fontId="15" fillId="5" borderId="0" xfId="1" applyFont="1" applyFill="1"/>
    <xf numFmtId="0" fontId="17" fillId="5" borderId="0" xfId="1" applyFont="1" applyFill="1" applyAlignment="1">
      <alignment horizontal="left" vertical="center"/>
    </xf>
    <xf numFmtId="0" fontId="1" fillId="0" borderId="0" xfId="0" applyFont="1" applyAlignment="1">
      <alignment vertical="center"/>
    </xf>
    <xf numFmtId="0" fontId="32" fillId="2" borderId="0" xfId="20" applyFont="1" applyFill="1" applyAlignment="1" applyProtection="1">
      <alignment horizontal="center" vertical="center"/>
    </xf>
    <xf numFmtId="0" fontId="32" fillId="0" borderId="0" xfId="20" applyFont="1"/>
    <xf numFmtId="0" fontId="33" fillId="0" borderId="1" xfId="1" applyFont="1" applyBorder="1"/>
    <xf numFmtId="0" fontId="21" fillId="14" borderId="0" xfId="1" applyFont="1" applyFill="1" applyAlignment="1">
      <alignment horizontal="centerContinuous"/>
    </xf>
    <xf numFmtId="0" fontId="21" fillId="18" borderId="2" xfId="3" applyFont="1" applyFill="1" applyBorder="1" applyAlignment="1">
      <alignment vertical="top" wrapText="1"/>
    </xf>
    <xf numFmtId="0" fontId="10" fillId="18" borderId="2" xfId="3" applyFont="1" applyFill="1" applyBorder="1" applyAlignment="1" applyProtection="1">
      <alignment vertical="top" wrapText="1"/>
      <protection locked="0"/>
    </xf>
    <xf numFmtId="1" fontId="21" fillId="19" borderId="2" xfId="4" applyNumberFormat="1" applyFont="1" applyFill="1" applyBorder="1" applyAlignment="1" applyProtection="1">
      <alignment vertical="top" wrapText="1"/>
    </xf>
    <xf numFmtId="0" fontId="29" fillId="0" borderId="30" xfId="0" applyFont="1" applyBorder="1" applyAlignment="1">
      <alignment horizontal="center"/>
    </xf>
    <xf numFmtId="0" fontId="10" fillId="0" borderId="17" xfId="1" applyFont="1" applyBorder="1" applyAlignment="1">
      <alignment horizontal="right" vertical="center"/>
    </xf>
    <xf numFmtId="0" fontId="10" fillId="0" borderId="80" xfId="1" applyFont="1" applyBorder="1" applyAlignment="1">
      <alignment vertical="center" wrapText="1"/>
    </xf>
    <xf numFmtId="0" fontId="10" fillId="0" borderId="81" xfId="1" applyFont="1" applyBorder="1" applyAlignment="1">
      <alignment vertical="center" wrapText="1"/>
    </xf>
    <xf numFmtId="0" fontId="10" fillId="0" borderId="82" xfId="1" applyFont="1" applyBorder="1" applyAlignment="1">
      <alignment vertical="center" wrapText="1"/>
    </xf>
    <xf numFmtId="0" fontId="10" fillId="0" borderId="83" xfId="0" applyFont="1" applyBorder="1"/>
    <xf numFmtId="0" fontId="10" fillId="0" borderId="84" xfId="0" applyFont="1" applyBorder="1"/>
    <xf numFmtId="0" fontId="10" fillId="0" borderId="85" xfId="0" applyFont="1" applyBorder="1"/>
    <xf numFmtId="0" fontId="10" fillId="2" borderId="31" xfId="0" applyFont="1" applyFill="1" applyBorder="1" applyAlignment="1">
      <alignment vertical="center"/>
    </xf>
    <xf numFmtId="0" fontId="10" fillId="2" borderId="31" xfId="0" applyFont="1" applyFill="1" applyBorder="1" applyAlignment="1">
      <alignment horizontal="left" vertical="center" wrapText="1"/>
    </xf>
    <xf numFmtId="0" fontId="20" fillId="8" borderId="6" xfId="0" applyFont="1" applyFill="1" applyBorder="1" applyAlignment="1">
      <alignment vertical="top"/>
    </xf>
    <xf numFmtId="0" fontId="20" fillId="8" borderId="86" xfId="0" applyFont="1" applyFill="1" applyBorder="1" applyAlignment="1">
      <alignment horizontal="center" vertical="center"/>
    </xf>
    <xf numFmtId="0" fontId="10" fillId="2" borderId="0" xfId="0" applyFont="1" applyFill="1" applyAlignment="1">
      <alignment vertical="center"/>
    </xf>
    <xf numFmtId="0" fontId="10" fillId="2" borderId="0" xfId="0" applyFont="1" applyFill="1"/>
    <xf numFmtId="0" fontId="10" fillId="2" borderId="0" xfId="0" applyFont="1" applyFill="1" applyAlignment="1">
      <alignment vertical="top"/>
    </xf>
    <xf numFmtId="0" fontId="10" fillId="2" borderId="31" xfId="0" applyFont="1" applyFill="1" applyBorder="1" applyAlignment="1">
      <alignment vertical="top"/>
    </xf>
    <xf numFmtId="0" fontId="10" fillId="2" borderId="31" xfId="0" applyFont="1" applyFill="1" applyBorder="1" applyAlignment="1">
      <alignment vertical="top" wrapText="1"/>
    </xf>
    <xf numFmtId="0" fontId="34" fillId="2" borderId="0" xfId="1" applyFont="1" applyFill="1"/>
    <xf numFmtId="0" fontId="35" fillId="2" borderId="0" xfId="20" applyFont="1" applyFill="1" applyAlignment="1" applyProtection="1">
      <alignment horizontal="center" vertical="center"/>
    </xf>
    <xf numFmtId="0" fontId="36" fillId="15" borderId="0" xfId="1" applyFont="1" applyFill="1"/>
    <xf numFmtId="0" fontId="21" fillId="20" borderId="2" xfId="3" applyFont="1" applyFill="1" applyBorder="1" applyAlignment="1">
      <alignment vertical="top" wrapText="1"/>
    </xf>
    <xf numFmtId="0" fontId="10" fillId="20" borderId="2" xfId="3" applyFont="1" applyFill="1" applyBorder="1" applyAlignment="1" applyProtection="1">
      <alignment vertical="top" wrapText="1"/>
      <protection locked="0"/>
    </xf>
    <xf numFmtId="1" fontId="21" fillId="21" borderId="2" xfId="4" applyNumberFormat="1" applyFont="1" applyFill="1" applyBorder="1" applyAlignment="1" applyProtection="1">
      <alignment vertical="top" wrapText="1"/>
    </xf>
    <xf numFmtId="0" fontId="36" fillId="5" borderId="0" xfId="1" applyFont="1" applyFill="1"/>
    <xf numFmtId="0" fontId="35" fillId="0" borderId="0" xfId="20" applyFont="1"/>
    <xf numFmtId="0" fontId="10" fillId="2" borderId="0" xfId="0" applyFont="1" applyFill="1" applyAlignment="1">
      <alignment horizontal="left" vertical="center"/>
    </xf>
    <xf numFmtId="0" fontId="25" fillId="0" borderId="0" xfId="1" applyFont="1" applyAlignment="1">
      <alignment vertical="center"/>
    </xf>
    <xf numFmtId="0" fontId="15" fillId="0" borderId="2" xfId="1" applyFont="1" applyBorder="1" applyAlignment="1" applyProtection="1">
      <alignment horizontal="center" vertical="center" wrapText="1"/>
      <protection locked="0" hidden="1"/>
    </xf>
    <xf numFmtId="0" fontId="10" fillId="0" borderId="21" xfId="1" applyFont="1" applyBorder="1" applyAlignment="1" applyProtection="1">
      <alignment horizontal="center"/>
      <protection locked="0" hidden="1"/>
    </xf>
    <xf numFmtId="0" fontId="10" fillId="0" borderId="0" xfId="1" applyFont="1" applyAlignment="1" applyProtection="1">
      <alignment horizontal="center"/>
      <protection locked="0" hidden="1"/>
    </xf>
    <xf numFmtId="0" fontId="10" fillId="0" borderId="22" xfId="1" applyFont="1" applyBorder="1" applyAlignment="1" applyProtection="1">
      <alignment horizontal="center"/>
      <protection locked="0" hidden="1"/>
    </xf>
    <xf numFmtId="0" fontId="18" fillId="0" borderId="16" xfId="1" applyFont="1" applyBorder="1" applyAlignment="1" applyProtection="1">
      <alignment horizontal="center"/>
      <protection locked="0" hidden="1"/>
    </xf>
    <xf numFmtId="0" fontId="18" fillId="0" borderId="3" xfId="1" applyFont="1" applyBorder="1" applyAlignment="1" applyProtection="1">
      <alignment horizontal="center"/>
      <protection locked="0" hidden="1"/>
    </xf>
    <xf numFmtId="0" fontId="18" fillId="0" borderId="18" xfId="1" applyFont="1" applyBorder="1" applyAlignment="1" applyProtection="1">
      <alignment horizontal="center"/>
      <protection locked="0" hidden="1"/>
    </xf>
    <xf numFmtId="0" fontId="26" fillId="0" borderId="56" xfId="1" applyFont="1" applyBorder="1" applyAlignment="1" applyProtection="1">
      <alignment horizontal="center"/>
      <protection locked="0" hidden="1"/>
    </xf>
    <xf numFmtId="0" fontId="26" fillId="0" borderId="59" xfId="1" applyFont="1" applyBorder="1" applyAlignment="1" applyProtection="1">
      <alignment horizontal="center"/>
      <protection locked="0" hidden="1"/>
    </xf>
    <xf numFmtId="0" fontId="15" fillId="0" borderId="46" xfId="1" applyFont="1" applyBorder="1" applyAlignment="1" applyProtection="1">
      <alignment horizontal="center" vertical="center" wrapText="1"/>
      <protection locked="0" hidden="1"/>
    </xf>
    <xf numFmtId="0" fontId="15" fillId="0" borderId="41" xfId="1" applyFont="1" applyBorder="1" applyAlignment="1" applyProtection="1">
      <alignment horizontal="center" vertical="center" wrapText="1"/>
      <protection locked="0" hidden="1"/>
    </xf>
    <xf numFmtId="0" fontId="15" fillId="0" borderId="47" xfId="1" applyFont="1" applyBorder="1" applyAlignment="1" applyProtection="1">
      <alignment horizontal="center" vertical="center" wrapText="1"/>
      <protection locked="0" hidden="1"/>
    </xf>
    <xf numFmtId="0" fontId="15" fillId="0" borderId="40" xfId="1" applyFont="1" applyBorder="1" applyAlignment="1" applyProtection="1">
      <alignment horizontal="center" vertical="center" wrapText="1"/>
      <protection locked="0" hidden="1"/>
    </xf>
    <xf numFmtId="0" fontId="15" fillId="0" borderId="49" xfId="1" applyFont="1" applyBorder="1" applyAlignment="1" applyProtection="1">
      <alignment horizontal="center" vertical="center" wrapText="1"/>
      <protection locked="0" hidden="1"/>
    </xf>
    <xf numFmtId="0" fontId="18" fillId="0" borderId="55" xfId="1" applyFont="1" applyBorder="1" applyAlignment="1" applyProtection="1">
      <alignment horizontal="center"/>
      <protection locked="0" hidden="1"/>
    </xf>
    <xf numFmtId="0" fontId="18" fillId="0" borderId="20" xfId="1" applyFont="1" applyBorder="1" applyAlignment="1" applyProtection="1">
      <alignment horizontal="center"/>
      <protection locked="0" hidden="1"/>
    </xf>
    <xf numFmtId="0" fontId="16" fillId="0" borderId="56" xfId="1" applyFont="1" applyBorder="1" applyAlignment="1" applyProtection="1">
      <alignment horizontal="center"/>
      <protection locked="0" hidden="1"/>
    </xf>
    <xf numFmtId="0" fontId="16" fillId="0" borderId="57" xfId="1" applyFont="1" applyBorder="1" applyAlignment="1" applyProtection="1">
      <alignment horizontal="center"/>
      <protection locked="0" hidden="1"/>
    </xf>
    <xf numFmtId="0" fontId="18" fillId="0" borderId="58" xfId="1" applyFont="1" applyBorder="1" applyAlignment="1" applyProtection="1">
      <alignment horizontal="center"/>
      <protection locked="0" hidden="1"/>
    </xf>
    <xf numFmtId="0" fontId="27" fillId="0" borderId="43" xfId="1" applyFont="1" applyBorder="1" applyAlignment="1" applyProtection="1">
      <alignment horizontal="center" vertical="center" wrapText="1"/>
      <protection locked="0" hidden="1"/>
    </xf>
    <xf numFmtId="0" fontId="27" fillId="0" borderId="44" xfId="1" applyFont="1" applyBorder="1" applyAlignment="1" applyProtection="1">
      <alignment horizontal="center" vertical="center" wrapText="1"/>
      <protection locked="0" hidden="1"/>
    </xf>
    <xf numFmtId="0" fontId="27" fillId="0" borderId="45" xfId="1" applyFont="1" applyBorder="1" applyAlignment="1" applyProtection="1">
      <alignment horizontal="center" vertical="center" wrapText="1"/>
      <protection locked="0" hidden="1"/>
    </xf>
    <xf numFmtId="0" fontId="20" fillId="0" borderId="6" xfId="1" applyFont="1" applyBorder="1" applyAlignment="1" applyProtection="1">
      <alignment horizontal="center"/>
      <protection locked="0" hidden="1"/>
    </xf>
    <xf numFmtId="0" fontId="20" fillId="0" borderId="34" xfId="1" applyFont="1" applyBorder="1" applyAlignment="1" applyProtection="1">
      <alignment horizontal="center"/>
      <protection locked="0" hidden="1"/>
    </xf>
    <xf numFmtId="0" fontId="20" fillId="0" borderId="5" xfId="1" applyFont="1" applyBorder="1" applyAlignment="1" applyProtection="1">
      <alignment horizontal="center"/>
      <protection locked="0" hidden="1"/>
    </xf>
    <xf numFmtId="0" fontId="21" fillId="14" borderId="25" xfId="0" applyFont="1" applyFill="1" applyBorder="1" applyAlignment="1">
      <alignment horizontal="center" vertical="center" wrapText="1"/>
    </xf>
    <xf numFmtId="0" fontId="29" fillId="6" borderId="71" xfId="0" applyFont="1" applyFill="1" applyBorder="1" applyAlignment="1">
      <alignment horizontal="center" vertical="center" wrapText="1"/>
    </xf>
    <xf numFmtId="0" fontId="29" fillId="6" borderId="35" xfId="0" applyFont="1" applyFill="1" applyBorder="1" applyAlignment="1">
      <alignment horizontal="center" vertical="center" wrapText="1"/>
    </xf>
    <xf numFmtId="0" fontId="20" fillId="10" borderId="68" xfId="0" applyFont="1" applyFill="1" applyBorder="1" applyAlignment="1">
      <alignment horizontal="center"/>
    </xf>
    <xf numFmtId="0" fontId="20" fillId="10" borderId="69" xfId="0" applyFont="1" applyFill="1" applyBorder="1" applyAlignment="1">
      <alignment horizontal="center"/>
    </xf>
    <xf numFmtId="0" fontId="20" fillId="10" borderId="70" xfId="0" applyFont="1" applyFill="1" applyBorder="1" applyAlignment="1">
      <alignment horizontal="center"/>
    </xf>
    <xf numFmtId="0" fontId="20" fillId="9" borderId="68" xfId="0" applyFont="1" applyFill="1" applyBorder="1" applyAlignment="1">
      <alignment horizontal="center"/>
    </xf>
    <xf numFmtId="0" fontId="20" fillId="9" borderId="69" xfId="0" applyFont="1" applyFill="1" applyBorder="1" applyAlignment="1">
      <alignment horizontal="center"/>
    </xf>
    <xf numFmtId="0" fontId="20" fillId="9" borderId="70" xfId="0" applyFont="1" applyFill="1" applyBorder="1" applyAlignment="1">
      <alignment horizontal="center"/>
    </xf>
    <xf numFmtId="0" fontId="29" fillId="0" borderId="30" xfId="0" applyFont="1" applyBorder="1" applyAlignment="1">
      <alignment horizontal="center" vertical="center" wrapText="1"/>
    </xf>
    <xf numFmtId="165" fontId="10" fillId="2" borderId="25" xfId="4" applyFont="1" applyFill="1" applyBorder="1" applyAlignment="1" applyProtection="1">
      <alignment vertical="center"/>
      <protection hidden="1"/>
    </xf>
  </cellXfs>
  <cellStyles count="21">
    <cellStyle name="Comma" xfId="9" builtinId="3"/>
    <cellStyle name="Comma [0]" xfId="7" builtinId="6"/>
    <cellStyle name="Comma [0] 2" xfId="15" xr:uid="{03FA99AC-2920-4277-980A-103DAFF1CA85}"/>
    <cellStyle name="Comma [0] 3" xfId="14" xr:uid="{71C0E85B-2606-486D-A5F8-E5DACA886DB9}"/>
    <cellStyle name="Comma [0] 4" xfId="17" xr:uid="{C94D06A3-2484-4AD0-A38F-3CC67C7E4C2E}"/>
    <cellStyle name="Comma 2" xfId="4" xr:uid="{00000000-0005-0000-0000-000002000000}"/>
    <cellStyle name="Comma 2 2" xfId="10" xr:uid="{2A45F441-1746-41C6-BE18-5C453A22CA7B}"/>
    <cellStyle name="Comma 2 4 2" xfId="5" xr:uid="{00000000-0005-0000-0000-000003000000}"/>
    <cellStyle name="Comma 3" xfId="16" xr:uid="{F8A04797-555B-454E-99E2-E66C1373B410}"/>
    <cellStyle name="Comma 4" xfId="11" xr:uid="{205FE6CD-43FE-403D-974B-E30F97D9BE7D}"/>
    <cellStyle name="Hyperlink" xfId="20" builtinId="8"/>
    <cellStyle name="Hyperlink 2" xfId="2" xr:uid="{00000000-0005-0000-0000-000004000000}"/>
    <cellStyle name="Normal" xfId="0" builtinId="0"/>
    <cellStyle name="Normal 13" xfId="12" xr:uid="{98521339-ED4C-465E-9E27-A96344614F17}"/>
    <cellStyle name="Normal 2" xfId="1" xr:uid="{00000000-0005-0000-0000-000006000000}"/>
    <cellStyle name="Normal 2 2" xfId="18" xr:uid="{3ABA0FA8-A4C1-487E-BC38-E9B8626757E8}"/>
    <cellStyle name="Normal 3" xfId="3" xr:uid="{00000000-0005-0000-0000-000007000000}"/>
    <cellStyle name="Normal 4" xfId="13" xr:uid="{CCB5082B-47AA-4817-B927-70E1BFFC4A33}"/>
    <cellStyle name="Normal 5" xfId="19" xr:uid="{A6690459-A946-4A32-977D-02ED84BD2E1B}"/>
    <cellStyle name="Normal 6" xfId="6" xr:uid="{00000000-0005-0000-0000-000008000000}"/>
    <cellStyle name="Percent 2" xfId="8" xr:uid="{00000000-0005-0000-0000-000009000000}"/>
  </cellStyles>
  <dxfs count="5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58"/>
      <tableStyleElement type="headerRow" dxfId="57"/>
      <tableStyleElement type="totalRow" dxfId="56"/>
      <tableStyleElement type="firstRowStripe" dxfId="55"/>
      <tableStyleElement type="firstColumnStripe" dxfId="54"/>
      <tableStyleElement type="firstSubtotalColumn" dxfId="53"/>
      <tableStyleElement type="firstSubtotalRow" dxfId="52"/>
      <tableStyleElement type="secondSubtotalRow" dxfId="51"/>
      <tableStyleElement type="firstRowSubheading" dxfId="50"/>
      <tableStyleElement type="secondRowSubheading" dxfId="49"/>
      <tableStyleElement type="pageFieldLabels" dxfId="48"/>
      <tableStyleElement type="pageFieldValues" dxfId="47"/>
    </tableStyle>
    <tableStyle name="PivotStyleMedium8 2 2" table="0" count="12" xr9:uid="{00000000-0011-0000-FFFF-FFFF01000000}">
      <tableStyleElement type="wholeTable" dxfId="46"/>
      <tableStyleElement type="headerRow" dxfId="45"/>
      <tableStyleElement type="totalRow" dxfId="44"/>
      <tableStyleElement type="firstRowStripe" dxfId="43"/>
      <tableStyleElement type="firstColumnStripe" dxfId="42"/>
      <tableStyleElement type="firstSubtotalColumn" dxfId="41"/>
      <tableStyleElement type="firstSubtotalRow" dxfId="40"/>
      <tableStyleElement type="secondSubtotalRow" dxfId="39"/>
      <tableStyleElement type="firstRowSubheading" dxfId="38"/>
      <tableStyleElement type="secondRowSubheading" dxfId="37"/>
      <tableStyleElement type="pageFieldLabels" dxfId="36"/>
      <tableStyleElement type="pageFieldValues" dxfId="35"/>
    </tableStyle>
    <tableStyle name="PivotStyleMedium8 2 2 2" table="0" count="13" xr9:uid="{00000000-0011-0000-FFFF-FFFF02000000}">
      <tableStyleElement type="wholeTable" dxfId="34"/>
      <tableStyleElement type="headerRow" dxfId="33"/>
      <tableStyleElement type="totalRow" dxfId="32"/>
      <tableStyleElement type="lastColumn" dxfId="31"/>
      <tableStyleElement type="firstRowStripe" dxfId="30"/>
      <tableStyleElement type="firstColumnStripe" dxfId="29"/>
      <tableStyleElement type="firstSubtotalColumn"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PivotStyleMedium8 2 3" table="0" count="12" xr9:uid="{00000000-0011-0000-FFFF-FFFF03000000}">
      <tableStyleElement type="wholeTable" dxfId="21"/>
      <tableStyleElement type="headerRow" dxfId="20"/>
      <tableStyleElement type="totalRow" dxfId="19"/>
      <tableStyleElement type="firstRowStripe" dxfId="18"/>
      <tableStyleElement type="firstColumnStripe" dxfId="17"/>
      <tableStyleElement type="firstSubtotalColumn" dxfId="16"/>
      <tableStyleElement type="firstSubtotalRow" dxfId="15"/>
      <tableStyleElement type="secondSubtotalRow" dxfId="14"/>
      <tableStyleElement type="firstRowSubheading" dxfId="13"/>
      <tableStyleElement type="secondRowSubheading" dxfId="12"/>
      <tableStyleElement type="pageFieldLabels" dxfId="11"/>
      <tableStyleElement type="pageFieldValues" dxfId="10"/>
    </tableStyle>
    <tableStyle name="Table Style 1" pivot="0" count="2" xr9:uid="{00000000-0011-0000-FFFF-FFFF04000000}">
      <tableStyleElement type="wholeTable" dxfId="9"/>
      <tableStyleElement type="headerRow" dxfId="8"/>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DD5056FE-ECBE-4722-AD53-EA42EE7531C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48049" y="16363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1BF39605-2023-4D7C-AC20-FB2FC065B2E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35204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2B31813E-4502-47B1-8FD8-4D039E0CF0A5}"/>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6E0C404E-BC3F-48BC-AE79-4F27B4371FD4}"/>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1DA4464E-E882-4027-AA15-0DB0CA719D76}"/>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61255E4D-F97A-4F50-9C89-8C3ACA884FB7}"/>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E90928F2-8EE0-45A1-A51D-9E91E235CF22}"/>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3F5D0C65-DD58-46BF-9E1E-0FDFA6BE81AF}"/>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AB7D5A35-0056-485E-96BD-AE439D23BFE8}"/>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54AAC29A-2BAC-4D07-8C9C-BD5DFA67B693}"/>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1EBDF331-B5CA-498B-9266-4A329E4116E2}"/>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806F445E-0C0D-4BFE-85B5-7EBCA9DD58AA}"/>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34B9A04D-FA80-4F18-AE80-9992F0CE0817}"/>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F77AB636-F9B2-4AB5-ACBA-1CBF0ACF6174}"/>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E07F1500-EBD2-48F1-9214-939B96D1AE22}"/>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5BAD1A5A-A1B3-4587-B883-5AF2E7A96E17}"/>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B5761D58-5BD4-41DD-9F96-7A15FFE6A620}"/>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CFA59B0F-ED52-490E-AB8D-64A75263CA4C}"/>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0402D0B8-897D-4ABF-AF75-4B2778423D2B}"/>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82FE79D7-0787-4B4E-B24D-D62AC3C3A49D}"/>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140EF091-8407-427B-B741-06F65D0B65C5}"/>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BCD18820-B852-4A56-BEB6-AA835FEB42A3}"/>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FEA8E8AC-DF68-4087-A0C6-C2C5E39CDB49}"/>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99DDEA3A-D593-4E15-9BC7-ADCEF59A167E}"/>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61BCA558-DB94-4075-B5C0-6B016D4E23BF}"/>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640AE270-78D7-40EC-9899-8642E86E1875}"/>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65919A38-D0CB-49E9-BCE9-D253869907DE}"/>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4985A5E7-7D2A-454D-96F7-F2B83ABEB88C}"/>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22D21670-7ED0-4243-A312-841EC3058CA3}"/>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C8ECE86F-5648-400E-AEA4-BE27458F254A}"/>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3B45050E-4928-412C-8D49-A6D437E56CA5}"/>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988E9604-DC79-4ED0-8B43-2DDFA33834C1}"/>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5AD739F2-E68A-4BCE-8C62-7167BE9ED8FA}"/>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C6410EB8-3AA4-4C94-BF38-1F7CBC55D73D}"/>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9A8438BB-5284-4EE8-85D3-C4271931FDE4}"/>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80BC1018-54AE-48AD-802E-30A8BD406A45}"/>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0457FCE4-DC97-4049-88B4-EB35C0896C10}"/>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9B049751-069C-48AF-9C1C-2378100EC74B}"/>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693D2792-91F7-4DBB-896C-D726F7574933}"/>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996EBA5A-96E7-4A6C-B0D7-9EA773185B62}"/>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85100702-6339-4397-898D-214B5F784FE0}"/>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10E67EE1-163D-4E75-9B38-E17842A5A9D0}"/>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CCAB87E5-6C36-42BF-ABEB-1B308B955BFB}"/>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D4E6E17F-C2C9-4BEF-B1DE-F9CAB2ED1B4B}"/>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9904C01B-7970-47AA-A5E5-74E57B9C0F41}"/>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CBD2C1A9-B37F-47B1-A38B-B4E6E9A409D2}"/>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FBC3F1A5-845E-43DA-A81C-3F4D1DC48C08}"/>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96AF299F-5AC7-4EAF-9619-E7FF7A7EFBD9}"/>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602967E8-9393-4E9B-8D58-AFDBA708FB5F}"/>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3DE20574-4D1D-4139-82AE-34822D3AD21A}"/>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92598492-6B04-4C0D-A8EB-C88DC2467FF7}"/>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507FAA5D-5893-4D20-BDDC-87B8E1540ADD}"/>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393FBB79-7249-48EF-AADE-F6F04753BC0B}"/>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18990E0B-7B95-476A-A03C-411AA0ADC128}"/>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BA9658BC-D215-427D-968C-DC43FC0AF707}"/>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7005BD8F-3859-4A20-8E6C-3B3A0DC86CB3}"/>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0A315236-FE3B-4231-8054-87B3233CAA8C}"/>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52BD2907-9403-45D7-9C0E-7B63E3A0858C}"/>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5B43A673-81CE-4CD6-87C7-6036C0F56816}"/>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A1A25932-FC99-4BC4-B409-CA0D3ECC320A}"/>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BAC28194-D2A6-4E47-A970-CD8DC860B9AC}"/>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956085CA-4E5E-49F3-B403-53219D459600}"/>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E2FA8143-F205-41DD-BCE6-CC36F401D383}"/>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2BF98ADC-CDEB-4DB7-9BEF-6121979EB799}"/>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85AE82BA-1E98-40CB-9672-1AF50D0439BE}"/>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67EC7EED-2B19-407D-BA92-13EA6A104B41}"/>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3EC08155-01E9-438D-8438-0F6EB2C2F900}"/>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CFC15B74-9645-41CD-8CE6-119B50CFCA2C}"/>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F8C91707-A580-44CA-9DD9-A86A633EB5C3}"/>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C91EF70B-C8DF-42A7-95BB-671944AB91DB}"/>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212C68A7-1BB1-4C03-AAE3-5312A61A6F88}"/>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0CFE8F10-F7F5-4D17-8E8D-33124F3BCD19}"/>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56296B61-B8D3-46E3-8A43-26DAC605D79E}"/>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4DE49C48-8EBE-4CBF-8947-C506E3DC7CE0}"/>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E974B3CD-255B-41B4-8E8D-5F636B6488F3}"/>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B9F2ACC7-3CDE-4B49-B89C-3799BE424AEF}"/>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BCEA0BD4-387E-4B8A-824D-1BA987B91FAF}"/>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2563A7C7-2C53-42B0-B433-F7BE3245C8FC}"/>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CEE5B763-7161-44A2-A8FD-3A951C70E6A0}"/>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299361A9-8B63-4220-86BE-DAD6A5E4711A}"/>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5D4D5567-FF57-40FB-9B4B-7655CD781609}"/>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80636E20-9949-470B-8D89-F5B29F06F0B1}"/>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D524DDAF-8F42-43AB-95F5-824B718E077A}"/>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1F387B79-1A6B-43B1-A60F-EDC50EAB02ED}"/>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7C614ABC-E96F-4F9D-AD42-C419608EC1D9}"/>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38470F9B-EAEA-4996-A5B4-8B06B9BB746C}"/>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F6243715-DF30-4720-A606-7583E8C3E2CF}"/>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A33B6FC4-BCC2-4961-852E-1FE55A937351}"/>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D267AA26-4E63-45E2-A7A9-3538AB1FEB8A}"/>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4DEF8299-BFDE-42A7-B798-07C108197E98}"/>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84C5BE75-038A-4E55-A5DE-4F24EACA6A0E}"/>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C5D94A73-A38F-4532-A9C8-1012A8C04DF6}"/>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573A326F-34C6-493B-8C99-186A4C49BD23}"/>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67349B70-4BF6-4E53-9DC8-73955D86F0BF}"/>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5788F07C-6809-4D13-978C-F69B4731242A}"/>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CC2E5DFE-7AB5-4BF0-B909-5637D2FAE5C0}"/>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B32693D0-CAF7-42CE-88F9-1C8E15403300}"/>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29DD34BD-66B3-452B-A4C1-FB46156B4FEF}"/>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1105E536-0078-43F6-AAE7-7E606218B9F1}"/>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7E2684B4-299E-4FF2-9733-01A989A3AB03}"/>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6031486F-D80F-4A0D-96E3-4F5FE389CE36}"/>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C2F11E93-EF6C-4FBD-A97C-ACE962684E56}"/>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B09BE37A-D9F0-4298-B330-BE07E5D46CD4}"/>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77CED26D-A61D-4768-B7EC-ED589CB1200B}"/>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450996D0-DB9B-454A-AA99-5CFAFDCCAC9D}"/>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CD184FD7-80EF-4A0D-B27F-94476A7AC1BB}"/>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D8C31192-96D2-4820-982C-3061A3295E56}"/>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4516A28B-BBF5-46EF-8407-5A7D4DC3F206}"/>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215C5472-6A15-4340-8CB7-6C9739892203}"/>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DDF1ADF8-0B4C-43A9-AC7E-9DC69ED05F64}"/>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7581745D-ECC9-4381-A216-AA5BA79E40C0}"/>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90A744F2-314A-49D6-9D0B-1DD94EECA85F}"/>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5BF0B397-35B5-486E-969D-AF523B80B9CA}"/>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E54D4965-928C-4682-B68E-8C0AED277F2E}"/>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92CBA770-786F-41EA-A16C-36D8E2ECC945}"/>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204CC109-024C-4785-A466-D21FA82F52BB}"/>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AC40444A-704F-49B0-9310-1155B0BA9460}"/>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9F567919-96A1-402E-951C-018B3EA55EE7}"/>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AC68FA91-9C8A-4299-A004-10136E278B4E}"/>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949EAC81-15D5-4EA4-AB09-DBC77D15BE51}"/>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4DBD1716-2D80-428B-8223-6985D0849350}"/>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8F807CE4-A8B8-4AC9-881E-E2A4249E4BA8}"/>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12CA3926-B243-4DF4-8B2B-17781D17AC13}"/>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E4194E6F-88AA-455F-89A4-6F50AE3D4CA3}"/>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A25586A6-A326-4D3B-A76B-A16E7C299963}"/>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41A7819B-9DA5-49D0-818E-39BB332FC62F}"/>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C60C41FC-2FCF-4643-8B02-0FE70879E457}"/>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160459AF-5A22-4ECC-8F40-57D5997E6BDD}"/>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7BD2905B-047B-4252-91C0-AD90C2CF153B}"/>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8BA88E34-D2D5-4CC6-99C1-DCB7CDAB7ACF}"/>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C8717195-C83A-4367-9526-E24A4702C879}"/>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5E1A2D70-0BC4-467B-9B95-AB152290085F}"/>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83296875-AE61-4DF6-9DC3-70607979EC6C}"/>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ED6386F2-4606-440F-A4C0-B74AA5391F17}"/>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B374DA52-7923-4745-8673-C55BCCF25D6E}"/>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1B684116-0D24-469F-9985-1EBB8457025E}"/>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BAFDD015-F040-4D07-B806-83FB6C1F204A}"/>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B9315EA5-9108-4AF0-840E-5CB9AB114D58}"/>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50D5585D-1ED9-4357-9615-E73C819A83E3}"/>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B4E01B69-0748-44E9-9936-5A65936783AF}"/>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AA17083A-07CC-4FA3-9005-BF56E12E3070}"/>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A8608784-08ED-45D6-AE35-40ED596418B1}"/>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0B13715A-073B-43BC-AC7C-5847D5174EAA}"/>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096520F8-CEC8-4C54-BC46-16D32A8245AE}"/>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7D8AF976-83E5-4843-A468-849EF348EDE2}"/>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77A81A83-A717-4CC1-B741-4D4B3E7E6EF7}"/>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CCC49AFE-CEF8-4EDC-8348-D25898ED12B6}"/>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C9CE7EFA-628A-4789-8D55-CB07B6B35A6B}"/>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5F653E18-CE52-43D1-BBB3-DA1580BFA7CD}"/>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5CE4A36A-A55E-4989-9BC9-7472E187632F}"/>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529485C6-1C86-4D7E-9CFF-CB7323E2E109}"/>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350FB32C-1475-41DD-AB3D-68511720A3C7}"/>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39689579-9BDC-42B2-B431-7E0B1E48B3CC}"/>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F65BF732-33BE-41B1-9111-406DD04408C2}"/>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853CE1DC-F539-4C8C-B5EF-05A8D681862C}"/>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CE7B088E-8450-4CC4-8B64-0A097664CA25}"/>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EDC1516E-79BD-42CF-9271-CBFA1181C2D3}"/>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E3DE8890-4FAE-44E4-B529-B0983B279512}"/>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B763712D-68A3-4D72-99EC-53DC1A10F5EF}"/>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B1CE25FB-6498-444C-9542-E787F37660DD}"/>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3B34DC71-9BE2-488D-A4EB-39CB2FD510A7}"/>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6C34B423-10CB-4D90-9F0D-905295F619DE}"/>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AF9A0A6C-392A-47B2-AA9C-12767A249326}"/>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5837620C-7744-4483-AA9F-B527E3A8E11C}"/>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F895601E-0CD5-4097-9A45-258D03E13E2F}"/>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C2AAB664-D468-4208-BB7D-8D4A3241773C}"/>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9ED609C6-B5D9-4519-831C-4CAC5608FDFA}"/>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2B6AB792-5466-4705-BEAC-5EE6048D09BF}"/>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8EFC00FD-DDAA-40E5-AF37-24C8B4F57761}"/>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3FC722FF-65C0-4750-AC08-1FB960420834}"/>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028F7339-19A8-4317-B317-9374004F2FF3}"/>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CCA7547B-43BF-463B-A26A-18F33A9D493F}"/>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E32265A4-3D52-4D34-AD09-E7366EC73AB8}"/>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ED44BF14-F3E7-43AB-9246-5EDD2C96D332}"/>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96AE276A-D33C-49F4-84E4-D2D8DD8E2345}"/>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41485BDD-2D37-45EA-AC5F-CE36D71897D3}"/>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9AAF8F4C-57A5-40A5-BB6A-11C6D046EB03}"/>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75F97CA2-1C5F-460B-8852-CEB83E4D6F1A}"/>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DE4D702B-EF9B-47EC-9E56-D97D5C8E6F93}"/>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90F1E8A3-4114-4DD6-82B5-6A3C7D275FBC}"/>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21EF3B56-BFD2-4144-B3A2-A664A98617E4}"/>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45544ACF-28B1-4707-BBC4-2A2A0D5297F4}"/>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73583D67-1BB0-466E-A10E-0EE2E78A48DD}"/>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2212FF4F-CD45-41C7-8C1F-B7B985DC590A}"/>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2126D300-34D5-4FAA-A4D3-B80F92240483}"/>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F55D4751-33E7-43AD-B3A2-34BB61E03995}"/>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91CFB175-904D-4B7C-97A4-777699ADF6C1}"/>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2719CE36-ECA4-4557-94BB-32E75D3FEF8E}"/>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E7D7DE2E-365C-44A0-8766-445AAEDF6F9D}"/>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72055BAE-C1D5-42A3-800B-768C8A892145}"/>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6A760D26-17CA-4194-B4BD-A2A1A341D21C}"/>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4255D589-1B52-4969-9B44-FF5621B9860B}"/>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04AD7694-CEB8-4770-835B-02FB3CB35446}"/>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055F9437-150D-4393-A459-020CE020911A}"/>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08FB50C6-8491-4B27-A8F3-60B298B4DEFA}"/>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2CAD2252-90B4-4594-AD8F-A5C8D0F9D9D7}"/>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E5EF0080-BF63-488C-89A7-9F3061CBCFD1}"/>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6B76DA8A-CE30-448B-AF6C-40A652AE65AD}"/>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4BACA0DF-0BB6-41C4-AD9E-B04A66E8C3C9}"/>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35BBC8A3-1D1C-4504-A717-3370054CE2F9}"/>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8C00089F-952B-4AF3-B752-A33F482C93E7}"/>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87444EED-6A76-4F8D-9BB8-C58C0B0C7A71}"/>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32FC5DBA-79F7-4E2A-96A2-E7493F0B457C}"/>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DFFC8C80-E3A5-40B1-AE79-5B97C90E6764}"/>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9B54561C-9554-4C36-9D6B-5E049C1F1542}"/>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2437E0E1-2150-41FD-8E3F-B6A569D57BDF}"/>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63FC21DE-CAD3-4651-967D-24333EA641A3}"/>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D9043DB4-4C9C-4C86-8FC0-712900F5409E}"/>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CA7C66D9-BA0C-4249-9713-2FA53858B7D8}"/>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4BFED30F-7CEB-4BF9-B8A4-692AA9DB6962}"/>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54171D94-BEF0-4EBD-9582-5E3A81E612F1}"/>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471420A5-DBBD-4DCD-B09E-34903145BCAD}"/>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68F6D3BB-B65D-49D8-96A5-371A2B390139}"/>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BEDB5A78-755C-4233-9B06-DA52D50A1C7F}"/>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9A81AB84-A26C-427C-9F0D-57C726D10D79}"/>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AA8F2DA3-E960-4F5C-8E2B-607A86A9BC48}"/>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1C752A70-A3F7-4CEF-8E83-FB3693318946}"/>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F1C0DD8B-C21F-4AB7-B60D-E931FD7CE647}"/>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1267C687-97B6-4B16-8B06-F21B715A3A98}"/>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F196C7A1-6764-4032-BA95-0C48A80FA56D}"/>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87DE1E28-ED56-4255-844E-55B7F58D70EB}"/>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3615A600-0D6C-4429-B211-9357F01846A8}"/>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44504040-8830-4F7E-BCFE-B9B8441A61A5}"/>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28988FC3-BFEE-472F-AA8D-9AC7BEC100D1}"/>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3D8B8833-D713-4FAB-B1F0-9AAFE091D0D2}"/>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91F3BA27-49E4-490A-9A2C-8668312BD2DB}"/>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22CE37C7-1956-47E5-B12E-DF6C2C83CA9E}"/>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B6867B0A-55AE-4188-9D6E-7A848348A6AC}"/>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350F290D-5122-4B21-AB80-72CB4CCE6441}"/>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4E2C43F5-1513-45BD-89F7-E492FB0D2774}"/>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A0FFBA40-1738-48EA-B784-5AA1048F91A6}"/>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2BCF4BA0-6DED-486C-B2C9-8A320C279CCF}"/>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9458F019-938D-431E-9836-0867B74601DB}"/>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43EC856E-DC93-4010-8481-14CBDDD29881}"/>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90124749-962D-498A-A0FC-D712080549F5}"/>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51E39341-F475-48D5-A62C-CB5D801F2457}"/>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CF725D65-349A-4AD2-94EE-BAD83CF6BC39}"/>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094DBAC8-4E21-4998-99C4-2BB315D59CCC}"/>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79470B58-FE8C-4263-9556-5F54F54B6C3E}"/>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0A7647A9-6CE5-4AC5-A968-6B28109C5836}"/>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0F604142-9522-4574-BB98-D14895AB42A5}"/>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8E8A55EF-B185-434E-BDB7-F1164E1B04BB}"/>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91448084-DE42-46DC-85DD-69009B268258}"/>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26D67B21-DECA-4C51-AFCB-916C3B2681AE}"/>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11C936F1-39B4-46A4-9F1E-CAFF01FE6A7B}"/>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EC23E324-22A2-4E5C-8C15-0816338BAC37}"/>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3253E209-B374-414C-8EF6-80EA964083AD}"/>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36E50EC2-9BBF-4A77-9C10-70A5F6F63B83}"/>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F3BA0AAC-3DE8-4883-8C6C-96B707C55AAD}"/>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D6C3B504-4C34-4CC6-976E-F20A2A82F2D5}"/>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1D7FF49D-34BC-47C2-BDFD-ABA062BDBB8F}"/>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F06C840D-8272-4DB9-B30B-DE266DC58C24}"/>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E31F2A26-C752-4477-9F52-DD24972B2B4B}"/>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E0FB5E7F-6ED3-4910-8D2A-6DFA8D5FA458}"/>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2869F44E-02C7-4184-8831-9C25A22609B2}"/>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3B425169-5F5E-4B32-B261-9DC4013CC433}"/>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6ADB9BAB-8260-4157-BD2C-92C2DD0840A5}"/>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16C237FB-4AAF-45CD-894D-A4370EFE80ED}"/>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4E2341A5-6AF9-44FC-AC44-E92858194FD7}"/>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92597F89-7F5E-44AE-8E15-92EACB4EC84A}"/>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B0DAC7FC-B0E4-4A38-AB7D-237D3CAFFFDF}"/>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23F67A4C-4189-432C-9DC0-4F4B85FE931D}"/>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7B6E110C-055F-427C-8FC7-AA7138739E52}"/>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5BB8A98C-77F3-407A-B33D-8F50191667DE}"/>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EAEB93BB-A7CD-4BB2-B207-654453A09734}"/>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F2DFF4FE-904F-4E9B-8D6D-482BE3275C5A}"/>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73272B8C-5776-418B-895B-3B705C0BF323}"/>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8B9394C2-B26A-4538-9E1E-BAF39A5C189A}"/>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DA88057C-395A-4BD5-8FB5-9C666095C5E2}"/>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060C30CA-29FF-4560-9F56-F65AABE692D5}"/>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1D11C3CC-A2AF-45EC-AB25-117933C00808}"/>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E50B672D-29F5-4C84-AD77-9571E9FA3C24}"/>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987BDC82-481B-4668-B68C-02D6FA814A4F}"/>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1547FD07-4E02-45EE-AA82-D1FCD4A89740}"/>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C98E0CE3-BB9B-41A3-A962-A17F5F28DE45}"/>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5A75D748-BA5A-4C2D-8D21-71CD510610D8}"/>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77A61A51-4E5B-4E85-BB0E-AD4A9981D7BD}"/>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61022108-BEA2-4656-8D99-F2CE96B02809}"/>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72BD8E2E-FA39-4850-B0B7-5583A7779F3E}"/>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38B2ECE6-D2BD-40AE-87A9-C68849FA6936}"/>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1EE09793-C910-4C71-A396-D81F8E328548}"/>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949CEF62-F99D-4E34-8466-D9A42DD25533}"/>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AFFEB5A9-ADCA-44DF-A54F-E44A91C65530}"/>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0E0BD22F-CAE1-41EC-B80B-3C86BA733BA8}"/>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A5A2E29D-71A2-4BF0-A466-93E1212236B8}"/>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37031BFA-BD06-492A-B300-4BE090F14AED}"/>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255009C7-4849-4896-97E3-8694FB380268}"/>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3275C612-4D80-4061-B341-C0440E9D6C68}"/>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40AA6B96-453E-487C-897F-00463EA98871}"/>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D21A47BD-9805-45B4-A61F-1656BF5D5FB1}"/>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E1E12D04-93B6-4D3B-B2A6-02ABB1FC6C17}"/>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2B2665D0-60E7-4F2C-8D53-1BC77386E84A}"/>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20F88A14-F1F7-4075-906C-A2E0DD6D4D9F}"/>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CFF4CE02-8A97-422C-AD1F-7D9579A288A6}"/>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7EE86433-15AA-488C-8E84-7AFBFF72EFC4}"/>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AB99A9E9-6F9C-4BDC-A649-78A50E4D42F4}"/>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090C5DC5-DA28-4906-AA26-47D0E38E4420}"/>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E270D52C-BEE3-4CFA-A291-5CC30317E590}"/>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CA71F0E8-18BD-439A-A247-E4EFC114B4B8}"/>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F9CA09E3-B551-4A7B-B1C8-E6FBE8208376}"/>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19547432-7AFD-4E1E-9706-A35DC18DD395}"/>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93C81436-DF9E-4BEB-8A2F-55452EE22857}"/>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642806CD-F23D-41C1-A872-807179ED74C6}"/>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72A653A5-8523-4592-90E6-C1D9DD13F180}"/>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48FBB500-B1E4-43B4-8534-FDC44FD42C19}"/>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9CC90A57-69D8-4CFC-A44C-B490DAFF9F8F}"/>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B5724C46-3457-4006-A209-202CE0777E8D}"/>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78775C91-79C1-4BC0-ABA1-8754470FE04F}"/>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3BFA4FB5-7ACF-45FE-AC25-370045379619}"/>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F8578B81-7875-4773-8A5E-35741AAFE3B9}"/>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A7CAA09F-7253-4844-9B57-6C80AF1A09AF}"/>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A4AAAB67-D9D8-4B06-8A49-679FB3F650B1}"/>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B8F578E3-420E-46A1-9251-E0DDDDE2304F}"/>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130EEF3D-EE0D-4229-ADD8-D0DB7F5AF71D}"/>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66E05871-B4B6-4F0A-B265-176AC3B429C9}"/>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C7F83CD2-1270-44CB-AF5D-D5BBC3B63F5D}"/>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54FC92B7-FE60-4406-BE06-E5E5C8A79F41}"/>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9FB1F05B-EF1F-44E0-9656-E32797331E55}"/>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97E4584A-33FD-46A9-A60F-3290194A3367}"/>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570D2ABA-15EF-4E32-8312-0A7564FDE78F}"/>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796D7B7F-CC35-4E3C-8F1B-E6627BB557D9}"/>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E58A5FD2-41CB-4CD2-A2B0-6D1D5FFD7FC2}"/>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97BBC4A2-A80A-40B9-8534-FFCC6EE1C14B}"/>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6DA67904-331C-41F6-841D-497C77482AC4}"/>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80826B4C-E0D7-483F-9798-F33FB64D7160}"/>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969A3231-8984-4505-9EF7-332FAC0CF2B3}"/>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07F52515-D646-4BD0-904C-88E008B05EBC}"/>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5FE0961F-EBBF-4295-A961-0B22E61AD7C1}"/>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98D8C095-204F-4187-A89D-A479BE8732CE}"/>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7598EE9C-4368-4A40-8B06-DBF6B96426C6}"/>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E7658686-C965-44D9-9B00-F580BA598BEA}"/>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1BA3C6D3-6FE4-4A21-9C50-6BD492A0B43C}"/>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F2D81F5C-98EE-451A-AAE6-3D198B2DE6D8}"/>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CA2E9D1B-53F5-4C7E-9E7D-C16769707EF0}"/>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EEEEE98C-F4E4-49F4-841D-0A7C0B8C4AA1}"/>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29F78B6D-724E-4F40-B418-BB4728C7E54E}"/>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3D860668-BE1F-43E7-B66C-75DF772EF8B3}"/>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2A97527D-2BB2-476E-BFA6-A0F0DB2AA0A7}"/>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97E06235-2867-46A5-88CC-A2708A2BA5B8}"/>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B665F735-DB81-4FD4-BCAA-B354703BE9E8}"/>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03777654-95C6-403D-8F5C-4B5A7D7B3AB3}"/>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FEEC1830-7335-4DD0-A93C-13BE03D6E41A}"/>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10B8EF9A-B4B9-4041-A810-D610FB17C07C}"/>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3A0CF748-EF51-4BC9-BA4D-D66AACFE6ED8}"/>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F74548DB-9EC2-4DD2-BAD6-F1A0CFBD4218}"/>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530B2A23-CF74-465F-BB8E-03797B9EC6E3}"/>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EF74E65C-95D6-4E70-865B-37C8323EC193}"/>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5F48EB92-81F2-422F-B841-733D296FF99C}"/>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52A15DDF-C196-4BFA-AE70-2CA311497790}"/>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2966AE48-4C54-4E57-8401-DE86BC3A6307}"/>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E923C95A-7FF5-487E-8C00-D7BAD8E71CAE}"/>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DDA7E005-4566-4658-AF0D-4F1FEFCD49B7}"/>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3FE2336B-BFE8-4B27-98BB-4DB2D77D9F64}"/>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880C0F4D-1015-47BC-B3FF-B309220A218C}"/>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EFB1A9D5-F46D-419F-AC99-E02D5019785A}"/>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1447B36A-F8E3-441C-BD82-1640798226D0}"/>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03BA05F0-1443-49F7-9518-552A5A658187}"/>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798BE55A-E039-47B3-A6CB-F0338BDC3CE9}"/>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9995B6D7-1578-48B5-8333-499D15AAF883}"/>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FE2EED5C-D35C-4D52-8A26-3144CCCAA398}"/>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BC81980D-4511-4B6E-A275-32FA6DB3BC2C}"/>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0317CE26-B5DC-41F5-994F-517CDE91FE5E}"/>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781AAEE2-B369-446D-ACF5-8B0409EE2F09}"/>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D4292391-4F19-40D3-83DA-B13231C7DAFD}"/>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F189DEBD-5476-4938-9A0C-6A4EB818182D}"/>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D1B5536D-0A98-40E1-AD2D-E64647484E7F}"/>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7B946410-1F3A-4A49-801B-993E6D0DF5C1}"/>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D5CB042A-F73F-4D62-93EE-966DF9C6E9F0}"/>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B8D83E8B-930D-46BF-9A48-B527291EA384}"/>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950B9078-FB24-4AE7-8589-4FE0726D04A6}"/>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E9AA1013-3A27-4669-842C-1AFD80EC9518}"/>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3651A355-F8B4-4574-9575-52A88F404CC0}"/>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633FB39D-6FB0-4E3E-B0D1-942AE21D84DD}"/>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58FE4394-DA81-45F8-B859-0725CDF22425}"/>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9EF2975D-5576-413D-B91E-C3E5B3656EE0}"/>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B615AAD8-D7E3-4DB2-A313-3D187D5B5DAA}"/>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6633CC27-65F0-4BF0-B465-A19C8669F223}"/>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74DC90CF-0CD1-4DBB-9991-5652F7A70FCD}"/>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78B44C01-D8E3-4D47-9012-A66C0FD83475}"/>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C95C14E6-A137-4DB4-B201-3B0F948E7A56}"/>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82DA27CF-659D-4A96-963E-5B3087302C9C}"/>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47352931-709A-4D3A-99D6-7F27F85E150A}"/>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684F0B90-C9BD-4BAF-B491-FCAB28970F74}"/>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376775D9-ED48-4B56-A572-7263E47167FF}"/>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8D672000-0B99-4F3A-97C3-7DBD94DED4B4}"/>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299D89A7-7C3C-4347-BCA3-D318F1886DFA}"/>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A3901-1DDE-498C-AE0A-22F8DA1F3B50}">
  <sheetPr codeName="Sheet11">
    <tabColor rgb="FF339966"/>
  </sheetPr>
  <dimension ref="A2:P349"/>
  <sheetViews>
    <sheetView showGridLines="0" tabSelected="1" zoomScale="80" zoomScaleNormal="80" workbookViewId="0">
      <selection activeCell="B1" sqref="B1"/>
    </sheetView>
  </sheetViews>
  <sheetFormatPr defaultColWidth="10.26953125" defaultRowHeight="14.5" outlineLevelRow="4" x14ac:dyDescent="0.35"/>
  <cols>
    <col min="1" max="1" width="0.81640625" style="4" customWidth="1"/>
    <col min="2" max="2" width="3.453125" style="4" bestFit="1" customWidth="1"/>
    <col min="3" max="3" width="42.453125" style="4" customWidth="1"/>
    <col min="4" max="4" width="66.81640625" style="4" customWidth="1"/>
    <col min="5" max="5" width="103.54296875" style="4" customWidth="1"/>
    <col min="6" max="6" width="33" style="4" customWidth="1"/>
    <col min="7" max="7" width="31.7265625" style="4" customWidth="1"/>
    <col min="8" max="10" width="10.26953125" style="4"/>
    <col min="11" max="11" width="10.26953125" style="4" customWidth="1"/>
    <col min="12" max="16384" width="10.26953125" style="4"/>
  </cols>
  <sheetData>
    <row r="2" spans="2:16" ht="23.5" x14ac:dyDescent="0.55000000000000004">
      <c r="B2" s="3" t="s">
        <v>527</v>
      </c>
    </row>
    <row r="3" spans="2:16" ht="21" x14ac:dyDescent="0.5">
      <c r="B3" s="5"/>
    </row>
    <row r="4" spans="2:16" ht="19" thickBot="1" x14ac:dyDescent="0.5">
      <c r="B4" s="286" t="s">
        <v>0</v>
      </c>
      <c r="C4" s="6"/>
      <c r="D4" s="7"/>
      <c r="E4" s="6"/>
      <c r="F4" s="6"/>
      <c r="G4" s="6"/>
      <c r="H4" s="6"/>
      <c r="I4" s="6"/>
      <c r="J4" s="6"/>
      <c r="K4" s="6"/>
      <c r="L4" s="6"/>
      <c r="M4" s="6"/>
      <c r="N4" s="6"/>
      <c r="O4" s="6"/>
      <c r="P4" s="6"/>
    </row>
    <row r="5" spans="2:16" x14ac:dyDescent="0.35">
      <c r="B5" s="8"/>
      <c r="D5" s="9"/>
    </row>
    <row r="6" spans="2:16" x14ac:dyDescent="0.35">
      <c r="B6" s="4">
        <v>1</v>
      </c>
      <c r="C6" s="10" t="s">
        <v>532</v>
      </c>
    </row>
    <row r="7" spans="2:16" x14ac:dyDescent="0.35">
      <c r="B7" s="4">
        <v>2</v>
      </c>
      <c r="C7" s="10" t="s">
        <v>734</v>
      </c>
    </row>
    <row r="8" spans="2:16" x14ac:dyDescent="0.35">
      <c r="B8" s="11" t="s">
        <v>1</v>
      </c>
      <c r="C8" s="10" t="s">
        <v>528</v>
      </c>
    </row>
    <row r="9" spans="2:16" x14ac:dyDescent="0.35">
      <c r="B9" s="11" t="s">
        <v>1</v>
      </c>
      <c r="C9" s="10" t="s">
        <v>533</v>
      </c>
    </row>
    <row r="10" spans="2:16" x14ac:dyDescent="0.35">
      <c r="B10" s="11" t="s">
        <v>1</v>
      </c>
      <c r="C10" s="10" t="s">
        <v>735</v>
      </c>
    </row>
    <row r="11" spans="2:16" x14ac:dyDescent="0.35">
      <c r="B11" s="11" t="s">
        <v>1</v>
      </c>
      <c r="C11" s="10" t="s">
        <v>534</v>
      </c>
    </row>
    <row r="12" spans="2:16" x14ac:dyDescent="0.35">
      <c r="B12" s="11" t="s">
        <v>1</v>
      </c>
      <c r="C12" s="10" t="s">
        <v>535</v>
      </c>
    </row>
    <row r="13" spans="2:16" x14ac:dyDescent="0.35">
      <c r="B13" s="4">
        <v>3</v>
      </c>
      <c r="C13" s="10" t="s">
        <v>736</v>
      </c>
    </row>
    <row r="14" spans="2:16" x14ac:dyDescent="0.35">
      <c r="B14" s="4">
        <v>4</v>
      </c>
      <c r="C14" s="4" t="s">
        <v>2</v>
      </c>
    </row>
    <row r="15" spans="2:16" x14ac:dyDescent="0.35">
      <c r="B15" s="4">
        <v>5</v>
      </c>
      <c r="C15" s="4" t="s">
        <v>737</v>
      </c>
    </row>
    <row r="16" spans="2:16" x14ac:dyDescent="0.35">
      <c r="B16" s="4">
        <v>6</v>
      </c>
      <c r="C16" s="4" t="s">
        <v>1279</v>
      </c>
    </row>
    <row r="18" spans="1:16" ht="19" thickBot="1" x14ac:dyDescent="0.5">
      <c r="B18" s="286" t="s">
        <v>3</v>
      </c>
      <c r="C18" s="6"/>
      <c r="D18" s="7"/>
      <c r="E18" s="6"/>
      <c r="F18" s="6"/>
      <c r="G18" s="6"/>
      <c r="H18" s="6"/>
      <c r="I18" s="6"/>
      <c r="J18" s="6"/>
      <c r="K18" s="6"/>
      <c r="L18" s="6"/>
      <c r="M18" s="6"/>
      <c r="N18" s="6"/>
      <c r="O18" s="6"/>
      <c r="P18" s="6"/>
    </row>
    <row r="20" spans="1:16" x14ac:dyDescent="0.35">
      <c r="B20" s="4">
        <v>1</v>
      </c>
      <c r="C20" s="4" t="s">
        <v>4</v>
      </c>
    </row>
    <row r="21" spans="1:16" x14ac:dyDescent="0.35">
      <c r="C21" s="12" t="s">
        <v>5</v>
      </c>
    </row>
    <row r="22" spans="1:16" x14ac:dyDescent="0.35">
      <c r="C22" s="12" t="s">
        <v>738</v>
      </c>
    </row>
    <row r="23" spans="1:16" x14ac:dyDescent="0.35">
      <c r="C23" s="12" t="s">
        <v>739</v>
      </c>
    </row>
    <row r="24" spans="1:16" x14ac:dyDescent="0.35">
      <c r="C24" s="12" t="s">
        <v>740</v>
      </c>
    </row>
    <row r="25" spans="1:16" x14ac:dyDescent="0.35">
      <c r="B25" s="4">
        <v>2</v>
      </c>
      <c r="C25" s="4" t="s">
        <v>741</v>
      </c>
    </row>
    <row r="26" spans="1:16" x14ac:dyDescent="0.35">
      <c r="B26" s="4">
        <v>3</v>
      </c>
      <c r="C26" s="4" t="s">
        <v>742</v>
      </c>
    </row>
    <row r="28" spans="1:16" s="274" customFormat="1" ht="16" x14ac:dyDescent="0.4">
      <c r="A28" s="308"/>
      <c r="B28" s="308"/>
      <c r="C28" s="275" t="s">
        <v>6</v>
      </c>
      <c r="D28" s="276" t="s">
        <v>7</v>
      </c>
    </row>
    <row r="30" spans="1:16" x14ac:dyDescent="0.35">
      <c r="C30" s="4" t="s">
        <v>8</v>
      </c>
    </row>
    <row r="31" spans="1:16" outlineLevel="1" x14ac:dyDescent="0.35"/>
    <row r="32" spans="1:16" outlineLevel="1" x14ac:dyDescent="0.35">
      <c r="C32" s="13" t="s">
        <v>9</v>
      </c>
      <c r="D32" s="14" t="s">
        <v>10</v>
      </c>
    </row>
    <row r="33" spans="3:4" ht="58" outlineLevel="1" x14ac:dyDescent="0.35">
      <c r="C33" s="15" t="s">
        <v>11</v>
      </c>
      <c r="D33" s="16" t="s">
        <v>743</v>
      </c>
    </row>
    <row r="34" spans="3:4" outlineLevel="1" x14ac:dyDescent="0.35">
      <c r="C34" s="15" t="s">
        <v>127</v>
      </c>
      <c r="D34" s="16" t="s">
        <v>134</v>
      </c>
    </row>
    <row r="35" spans="3:4" outlineLevel="1" x14ac:dyDescent="0.35">
      <c r="C35" s="15" t="s">
        <v>226</v>
      </c>
      <c r="D35" s="16" t="s">
        <v>744</v>
      </c>
    </row>
    <row r="36" spans="3:4" outlineLevel="1" x14ac:dyDescent="0.35"/>
    <row r="37" spans="3:4" ht="33" customHeight="1" outlineLevel="1" x14ac:dyDescent="0.35">
      <c r="C37" s="17" t="s">
        <v>745</v>
      </c>
      <c r="D37" s="17" t="s">
        <v>746</v>
      </c>
    </row>
    <row r="38" spans="3:4" outlineLevel="2" x14ac:dyDescent="0.35">
      <c r="C38" s="18" t="s">
        <v>747</v>
      </c>
      <c r="D38" s="18" t="s">
        <v>226</v>
      </c>
    </row>
    <row r="39" spans="3:4" outlineLevel="2" x14ac:dyDescent="0.35">
      <c r="C39" s="19" t="s">
        <v>748</v>
      </c>
      <c r="D39" s="19" t="s">
        <v>409</v>
      </c>
    </row>
    <row r="40" spans="3:4" outlineLevel="2" x14ac:dyDescent="0.35">
      <c r="C40" s="19" t="s">
        <v>748</v>
      </c>
      <c r="D40" s="19" t="s">
        <v>405</v>
      </c>
    </row>
    <row r="41" spans="3:4" outlineLevel="2" x14ac:dyDescent="0.35">
      <c r="C41" s="19" t="s">
        <v>748</v>
      </c>
      <c r="D41" s="19" t="s">
        <v>406</v>
      </c>
    </row>
    <row r="42" spans="3:4" outlineLevel="2" x14ac:dyDescent="0.35">
      <c r="C42" s="19" t="s">
        <v>749</v>
      </c>
      <c r="D42" s="19" t="s">
        <v>750</v>
      </c>
    </row>
    <row r="43" spans="3:4" outlineLevel="2" x14ac:dyDescent="0.35">
      <c r="C43" s="19" t="s">
        <v>749</v>
      </c>
      <c r="D43" s="19" t="s">
        <v>751</v>
      </c>
    </row>
    <row r="44" spans="3:4" outlineLevel="2" x14ac:dyDescent="0.35">
      <c r="C44" s="19" t="s">
        <v>749</v>
      </c>
      <c r="D44" s="19" t="s">
        <v>385</v>
      </c>
    </row>
    <row r="45" spans="3:4" outlineLevel="2" x14ac:dyDescent="0.35">
      <c r="C45" s="19" t="s">
        <v>749</v>
      </c>
      <c r="D45" s="19" t="s">
        <v>446</v>
      </c>
    </row>
    <row r="46" spans="3:4" outlineLevel="2" x14ac:dyDescent="0.35">
      <c r="C46" s="19" t="s">
        <v>749</v>
      </c>
      <c r="D46" s="19" t="s">
        <v>411</v>
      </c>
    </row>
    <row r="47" spans="3:4" outlineLevel="2" x14ac:dyDescent="0.35">
      <c r="C47" s="14" t="s">
        <v>752</v>
      </c>
      <c r="D47" s="14" t="s">
        <v>22</v>
      </c>
    </row>
    <row r="48" spans="3:4" outlineLevel="2" x14ac:dyDescent="0.35">
      <c r="C48" s="14" t="s">
        <v>752</v>
      </c>
      <c r="D48" s="14" t="s">
        <v>21</v>
      </c>
    </row>
    <row r="49" spans="3:4" outlineLevel="2" x14ac:dyDescent="0.35">
      <c r="C49" s="14" t="s">
        <v>16</v>
      </c>
      <c r="D49" s="14" t="s">
        <v>180</v>
      </c>
    </row>
    <row r="50" spans="3:4" outlineLevel="2" x14ac:dyDescent="0.35">
      <c r="C50" s="14" t="str">
        <f>C49</f>
        <v>HSE</v>
      </c>
      <c r="D50" s="14" t="s">
        <v>181</v>
      </c>
    </row>
    <row r="51" spans="3:4" outlineLevel="2" x14ac:dyDescent="0.35">
      <c r="C51" s="14" t="s">
        <v>332</v>
      </c>
      <c r="D51" s="14" t="s">
        <v>128</v>
      </c>
    </row>
    <row r="52" spans="3:4" outlineLevel="2" x14ac:dyDescent="0.35">
      <c r="C52" s="14" t="s">
        <v>332</v>
      </c>
      <c r="D52" s="14" t="s">
        <v>24</v>
      </c>
    </row>
    <row r="53" spans="3:4" outlineLevel="2" x14ac:dyDescent="0.35">
      <c r="C53" s="14" t="s">
        <v>512</v>
      </c>
      <c r="D53" s="14" t="s">
        <v>135</v>
      </c>
    </row>
    <row r="54" spans="3:4" outlineLevel="2" x14ac:dyDescent="0.35">
      <c r="C54" s="14" t="s">
        <v>512</v>
      </c>
      <c r="D54" s="14" t="s">
        <v>17</v>
      </c>
    </row>
    <row r="55" spans="3:4" outlineLevel="2" x14ac:dyDescent="0.35">
      <c r="C55" s="14" t="s">
        <v>512</v>
      </c>
      <c r="D55" s="14" t="s">
        <v>14</v>
      </c>
    </row>
    <row r="56" spans="3:4" outlineLevel="2" x14ac:dyDescent="0.35">
      <c r="C56" s="14" t="s">
        <v>512</v>
      </c>
      <c r="D56" s="14" t="s">
        <v>15</v>
      </c>
    </row>
    <row r="57" spans="3:4" outlineLevel="2" x14ac:dyDescent="0.35">
      <c r="C57" s="14" t="s">
        <v>512</v>
      </c>
      <c r="D57" s="14" t="s">
        <v>616</v>
      </c>
    </row>
    <row r="58" spans="3:4" outlineLevel="2" x14ac:dyDescent="0.35">
      <c r="C58" s="14" t="s">
        <v>512</v>
      </c>
      <c r="D58" s="14" t="s">
        <v>1280</v>
      </c>
    </row>
    <row r="59" spans="3:4" outlineLevel="2" x14ac:dyDescent="0.35">
      <c r="C59" s="14" t="s">
        <v>615</v>
      </c>
      <c r="D59" s="14" t="s">
        <v>1225</v>
      </c>
    </row>
    <row r="60" spans="3:4" outlineLevel="2" x14ac:dyDescent="0.35">
      <c r="C60" s="14" t="s">
        <v>615</v>
      </c>
      <c r="D60" s="14" t="s">
        <v>1254</v>
      </c>
    </row>
    <row r="61" spans="3:4" outlineLevel="2" x14ac:dyDescent="0.35">
      <c r="C61" s="14" t="s">
        <v>615</v>
      </c>
      <c r="D61" s="14" t="s">
        <v>1255</v>
      </c>
    </row>
    <row r="62" spans="3:4" outlineLevel="2" x14ac:dyDescent="0.35">
      <c r="C62" s="14" t="s">
        <v>1256</v>
      </c>
      <c r="D62" s="14" t="s">
        <v>214</v>
      </c>
    </row>
    <row r="63" spans="3:4" outlineLevel="2" x14ac:dyDescent="0.35">
      <c r="C63" s="14" t="s">
        <v>1256</v>
      </c>
      <c r="D63" s="14" t="s">
        <v>335</v>
      </c>
    </row>
    <row r="64" spans="3:4" outlineLevel="2" x14ac:dyDescent="0.35">
      <c r="C64" s="14" t="s">
        <v>129</v>
      </c>
      <c r="D64" s="14" t="s">
        <v>1281</v>
      </c>
    </row>
    <row r="65" spans="1:4" outlineLevel="2" x14ac:dyDescent="0.35">
      <c r="C65" s="14" t="s">
        <v>129</v>
      </c>
      <c r="D65" s="14" t="s">
        <v>753</v>
      </c>
    </row>
    <row r="66" spans="1:4" outlineLevel="2" x14ac:dyDescent="0.35">
      <c r="C66" s="14" t="s">
        <v>129</v>
      </c>
      <c r="D66" s="14" t="s">
        <v>1282</v>
      </c>
    </row>
    <row r="67" spans="1:4" outlineLevel="2" x14ac:dyDescent="0.35">
      <c r="C67" s="14" t="s">
        <v>333</v>
      </c>
      <c r="D67" s="14" t="s">
        <v>1227</v>
      </c>
    </row>
    <row r="68" spans="1:4" outlineLevel="2" x14ac:dyDescent="0.35">
      <c r="C68" s="14" t="s">
        <v>333</v>
      </c>
      <c r="D68" s="14" t="s">
        <v>18</v>
      </c>
    </row>
    <row r="69" spans="1:4" outlineLevel="2" x14ac:dyDescent="0.35">
      <c r="C69" s="14" t="s">
        <v>333</v>
      </c>
      <c r="D69" s="14" t="s">
        <v>19</v>
      </c>
    </row>
    <row r="70" spans="1:4" outlineLevel="2" x14ac:dyDescent="0.35">
      <c r="C70" s="14" t="s">
        <v>333</v>
      </c>
      <c r="D70" s="14" t="s">
        <v>20</v>
      </c>
    </row>
    <row r="71" spans="1:4" outlineLevel="2" x14ac:dyDescent="0.35">
      <c r="C71" s="20" t="s">
        <v>131</v>
      </c>
      <c r="D71" s="14" t="s">
        <v>334</v>
      </c>
    </row>
    <row r="72" spans="1:4" outlineLevel="2" x14ac:dyDescent="0.35">
      <c r="C72" s="14" t="s">
        <v>131</v>
      </c>
      <c r="D72" s="14" t="s">
        <v>25</v>
      </c>
    </row>
    <row r="73" spans="1:4" outlineLevel="2" x14ac:dyDescent="0.35">
      <c r="C73" s="14" t="s">
        <v>131</v>
      </c>
      <c r="D73" s="14" t="s">
        <v>26</v>
      </c>
    </row>
    <row r="74" spans="1:4" outlineLevel="1" x14ac:dyDescent="0.35"/>
    <row r="75" spans="1:4" outlineLevel="1" x14ac:dyDescent="0.35">
      <c r="C75" s="4" t="s">
        <v>27</v>
      </c>
    </row>
    <row r="77" spans="1:4" s="274" customFormat="1" ht="16" x14ac:dyDescent="0.4">
      <c r="A77" s="308"/>
      <c r="B77" s="308"/>
      <c r="C77" s="275" t="s">
        <v>490</v>
      </c>
      <c r="D77" s="309" t="s">
        <v>1258</v>
      </c>
    </row>
    <row r="79" spans="1:4" x14ac:dyDescent="0.35">
      <c r="C79" s="4" t="s">
        <v>754</v>
      </c>
    </row>
    <row r="80" spans="1:4" x14ac:dyDescent="0.35">
      <c r="C80" s="272" t="s">
        <v>755</v>
      </c>
      <c r="D80" s="21"/>
    </row>
    <row r="81" spans="3:4" outlineLevel="1" x14ac:dyDescent="0.35">
      <c r="C81" s="4" t="s">
        <v>413</v>
      </c>
    </row>
    <row r="82" spans="3:4" outlineLevel="1" x14ac:dyDescent="0.35">
      <c r="C82" s="4" t="s">
        <v>756</v>
      </c>
    </row>
    <row r="83" spans="3:4" outlineLevel="1" x14ac:dyDescent="0.35"/>
    <row r="84" spans="3:4" outlineLevel="1" x14ac:dyDescent="0.35">
      <c r="C84" s="18" t="s">
        <v>757</v>
      </c>
      <c r="D84" s="18" t="s">
        <v>758</v>
      </c>
    </row>
    <row r="85" spans="3:4" ht="58" outlineLevel="1" x14ac:dyDescent="0.35">
      <c r="C85" s="22" t="s">
        <v>414</v>
      </c>
      <c r="D85" s="23" t="s">
        <v>759</v>
      </c>
    </row>
    <row r="86" spans="3:4" ht="43.5" outlineLevel="1" x14ac:dyDescent="0.35">
      <c r="C86" s="22" t="s">
        <v>228</v>
      </c>
      <c r="D86" s="24" t="s">
        <v>760</v>
      </c>
    </row>
    <row r="87" spans="3:4" ht="72.5" outlineLevel="1" x14ac:dyDescent="0.35">
      <c r="C87" s="25" t="s">
        <v>415</v>
      </c>
      <c r="D87" s="26" t="s">
        <v>416</v>
      </c>
    </row>
    <row r="88" spans="3:4" ht="48" customHeight="1" outlineLevel="1" x14ac:dyDescent="0.35">
      <c r="C88" s="27" t="s">
        <v>417</v>
      </c>
      <c r="D88" s="28" t="s">
        <v>761</v>
      </c>
    </row>
    <row r="89" spans="3:4" ht="153.75" customHeight="1" outlineLevel="1" x14ac:dyDescent="0.35">
      <c r="C89" s="29"/>
      <c r="D89" s="30" t="e" vm="1">
        <v>#VALUE!</v>
      </c>
    </row>
    <row r="90" spans="3:4" ht="58" outlineLevel="1" x14ac:dyDescent="0.35">
      <c r="C90" s="31" t="s">
        <v>529</v>
      </c>
      <c r="D90" s="32" t="s">
        <v>541</v>
      </c>
    </row>
    <row r="91" spans="3:4" outlineLevel="1" x14ac:dyDescent="0.35">
      <c r="C91" s="33" t="s">
        <v>762</v>
      </c>
      <c r="D91" s="34" t="s">
        <v>763</v>
      </c>
    </row>
    <row r="92" spans="3:4" outlineLevel="1" x14ac:dyDescent="0.35">
      <c r="C92" s="33" t="s">
        <v>764</v>
      </c>
      <c r="D92" s="34" t="s">
        <v>765</v>
      </c>
    </row>
    <row r="93" spans="3:4" outlineLevel="1" x14ac:dyDescent="0.35">
      <c r="C93" s="33" t="s">
        <v>762</v>
      </c>
      <c r="D93" s="34" t="s">
        <v>766</v>
      </c>
    </row>
    <row r="94" spans="3:4" ht="87" outlineLevel="1" x14ac:dyDescent="0.35">
      <c r="C94" s="35" t="s">
        <v>338</v>
      </c>
      <c r="D94" s="24" t="s">
        <v>767</v>
      </c>
    </row>
    <row r="95" spans="3:4" outlineLevel="1" x14ac:dyDescent="0.35">
      <c r="C95" s="35" t="s">
        <v>339</v>
      </c>
      <c r="D95" s="36" t="s">
        <v>418</v>
      </c>
    </row>
    <row r="96" spans="3:4" outlineLevel="1" x14ac:dyDescent="0.35">
      <c r="C96" s="35" t="s">
        <v>493</v>
      </c>
      <c r="D96" s="36" t="s">
        <v>768</v>
      </c>
    </row>
    <row r="97" spans="3:6" outlineLevel="1" x14ac:dyDescent="0.35">
      <c r="C97" s="35" t="s">
        <v>445</v>
      </c>
      <c r="D97" s="36" t="s">
        <v>494</v>
      </c>
    </row>
    <row r="98" spans="3:6" outlineLevel="1" x14ac:dyDescent="0.35">
      <c r="C98" s="35" t="s">
        <v>432</v>
      </c>
      <c r="D98" s="36" t="s">
        <v>769</v>
      </c>
    </row>
    <row r="99" spans="3:6" outlineLevel="1" x14ac:dyDescent="0.35">
      <c r="C99" s="35" t="s">
        <v>770</v>
      </c>
      <c r="D99" s="36" t="s">
        <v>419</v>
      </c>
    </row>
    <row r="100" spans="3:6" outlineLevel="1" x14ac:dyDescent="0.35">
      <c r="C100" s="35" t="s">
        <v>771</v>
      </c>
      <c r="D100" s="36" t="s">
        <v>420</v>
      </c>
    </row>
    <row r="101" spans="3:6" outlineLevel="1" x14ac:dyDescent="0.35">
      <c r="C101" s="37" t="s">
        <v>772</v>
      </c>
      <c r="D101" s="36" t="s">
        <v>773</v>
      </c>
    </row>
    <row r="102" spans="3:6" outlineLevel="1" x14ac:dyDescent="0.35">
      <c r="C102" s="35" t="s">
        <v>495</v>
      </c>
      <c r="D102" s="36" t="s">
        <v>496</v>
      </c>
    </row>
    <row r="103" spans="3:6" outlineLevel="1" x14ac:dyDescent="0.35"/>
    <row r="104" spans="3:6" outlineLevel="1" x14ac:dyDescent="0.35">
      <c r="C104" s="38" t="s">
        <v>421</v>
      </c>
    </row>
    <row r="105" spans="3:6" outlineLevel="2" x14ac:dyDescent="0.35">
      <c r="C105" s="39" t="s">
        <v>29</v>
      </c>
      <c r="D105" s="18" t="s">
        <v>30</v>
      </c>
      <c r="E105" s="40" t="s">
        <v>774</v>
      </c>
      <c r="F105" s="41"/>
    </row>
    <row r="106" spans="3:6" outlineLevel="2" x14ac:dyDescent="0.35">
      <c r="C106" s="42" t="s">
        <v>403</v>
      </c>
      <c r="D106" s="43"/>
      <c r="E106" s="44"/>
      <c r="F106" s="45"/>
    </row>
    <row r="107" spans="3:6" outlineLevel="2" x14ac:dyDescent="0.35">
      <c r="C107" s="46">
        <v>15000000</v>
      </c>
      <c r="D107" s="47" t="s">
        <v>388</v>
      </c>
      <c r="E107" s="48" t="s">
        <v>775</v>
      </c>
      <c r="F107" s="49"/>
    </row>
    <row r="108" spans="3:6" ht="29" outlineLevel="2" x14ac:dyDescent="0.35">
      <c r="C108" s="50">
        <v>15000010</v>
      </c>
      <c r="D108" s="51" t="s">
        <v>389</v>
      </c>
      <c r="E108" s="52" t="s">
        <v>776</v>
      </c>
      <c r="F108" s="53"/>
    </row>
    <row r="109" spans="3:6" ht="29" outlineLevel="2" x14ac:dyDescent="0.35">
      <c r="C109" s="50">
        <v>15000020</v>
      </c>
      <c r="D109" s="51" t="s">
        <v>390</v>
      </c>
      <c r="E109" s="52" t="s">
        <v>777</v>
      </c>
      <c r="F109" s="53"/>
    </row>
    <row r="110" spans="3:6" outlineLevel="2" x14ac:dyDescent="0.35">
      <c r="C110" s="50">
        <v>15000030</v>
      </c>
      <c r="D110" s="51" t="s">
        <v>391</v>
      </c>
      <c r="E110" s="52" t="s">
        <v>778</v>
      </c>
      <c r="F110" s="53"/>
    </row>
    <row r="111" spans="3:6" outlineLevel="2" x14ac:dyDescent="0.35">
      <c r="C111" s="50">
        <v>15000040</v>
      </c>
      <c r="D111" s="51" t="s">
        <v>392</v>
      </c>
      <c r="E111" s="52" t="s">
        <v>779</v>
      </c>
      <c r="F111" s="53"/>
    </row>
    <row r="112" spans="3:6" outlineLevel="2" x14ac:dyDescent="0.35">
      <c r="C112" s="50">
        <v>15000050</v>
      </c>
      <c r="D112" s="51" t="s">
        <v>393</v>
      </c>
      <c r="E112" s="52" t="s">
        <v>780</v>
      </c>
      <c r="F112" s="53"/>
    </row>
    <row r="113" spans="1:6" outlineLevel="2" x14ac:dyDescent="0.35">
      <c r="C113" s="50">
        <v>15000060</v>
      </c>
      <c r="D113" s="51" t="s">
        <v>394</v>
      </c>
      <c r="E113" s="52" t="s">
        <v>781</v>
      </c>
      <c r="F113" s="53"/>
    </row>
    <row r="114" spans="1:6" outlineLevel="2" x14ac:dyDescent="0.35">
      <c r="C114" s="54">
        <v>15000070</v>
      </c>
      <c r="D114" s="55" t="s">
        <v>395</v>
      </c>
      <c r="E114" s="56" t="s">
        <v>782</v>
      </c>
      <c r="F114" s="53"/>
    </row>
    <row r="115" spans="1:6" outlineLevel="2" x14ac:dyDescent="0.35">
      <c r="C115" s="54">
        <v>15000080</v>
      </c>
      <c r="D115" s="55" t="s">
        <v>396</v>
      </c>
      <c r="E115" s="56" t="s">
        <v>783</v>
      </c>
      <c r="F115" s="53"/>
    </row>
    <row r="116" spans="1:6" outlineLevel="2" x14ac:dyDescent="0.35">
      <c r="C116" s="54">
        <v>15200000</v>
      </c>
      <c r="D116" s="55" t="s">
        <v>397</v>
      </c>
      <c r="E116" s="56" t="s">
        <v>784</v>
      </c>
      <c r="F116" s="49"/>
    </row>
    <row r="117" spans="1:6" outlineLevel="2" x14ac:dyDescent="0.35">
      <c r="C117" s="57" t="s">
        <v>785</v>
      </c>
      <c r="D117" s="58"/>
      <c r="E117" s="59"/>
      <c r="F117" s="45"/>
    </row>
    <row r="118" spans="1:6" ht="29" outlineLevel="2" x14ac:dyDescent="0.35">
      <c r="C118" s="54">
        <v>15020010</v>
      </c>
      <c r="D118" s="55" t="s">
        <v>398</v>
      </c>
      <c r="E118" s="56" t="s">
        <v>786</v>
      </c>
      <c r="F118" s="53"/>
    </row>
    <row r="119" spans="1:6" ht="29" outlineLevel="2" x14ac:dyDescent="0.35">
      <c r="C119" s="54">
        <v>15020020</v>
      </c>
      <c r="D119" s="55" t="s">
        <v>399</v>
      </c>
      <c r="E119" s="56" t="s">
        <v>787</v>
      </c>
      <c r="F119" s="53"/>
    </row>
    <row r="120" spans="1:6" outlineLevel="2" x14ac:dyDescent="0.35">
      <c r="C120" s="54">
        <v>15020030</v>
      </c>
      <c r="D120" s="55" t="s">
        <v>400</v>
      </c>
      <c r="E120" s="56" t="s">
        <v>788</v>
      </c>
      <c r="F120" s="53"/>
    </row>
    <row r="121" spans="1:6" outlineLevel="2" x14ac:dyDescent="0.35">
      <c r="C121" s="54">
        <v>15020040</v>
      </c>
      <c r="D121" s="55" t="s">
        <v>401</v>
      </c>
      <c r="E121" s="56" t="s">
        <v>789</v>
      </c>
      <c r="F121" s="53"/>
    </row>
    <row r="122" spans="1:6" outlineLevel="2" x14ac:dyDescent="0.35">
      <c r="C122" s="54">
        <v>15020080</v>
      </c>
      <c r="D122" s="55" t="s">
        <v>402</v>
      </c>
      <c r="E122" s="56" t="s">
        <v>790</v>
      </c>
      <c r="F122" s="53"/>
    </row>
    <row r="123" spans="1:6" ht="29" outlineLevel="2" x14ac:dyDescent="0.35">
      <c r="C123" s="60">
        <v>15020090</v>
      </c>
      <c r="D123" s="61" t="s">
        <v>422</v>
      </c>
      <c r="E123" s="62" t="s">
        <v>791</v>
      </c>
      <c r="F123" s="53"/>
    </row>
    <row r="124" spans="1:6" outlineLevel="2" x14ac:dyDescent="0.35">
      <c r="C124" s="277"/>
      <c r="D124" s="49"/>
      <c r="E124" s="53"/>
      <c r="F124" s="53"/>
    </row>
    <row r="125" spans="1:6" s="280" customFormat="1" ht="16" x14ac:dyDescent="0.4">
      <c r="A125" s="310"/>
      <c r="B125" s="310"/>
      <c r="C125" s="278" t="s">
        <v>1265</v>
      </c>
      <c r="D125" s="279" t="s">
        <v>322</v>
      </c>
    </row>
    <row r="127" spans="1:6" outlineLevel="1" x14ac:dyDescent="0.35">
      <c r="C127" s="4" t="s">
        <v>31</v>
      </c>
    </row>
    <row r="128" spans="1:6" outlineLevel="1" x14ac:dyDescent="0.35">
      <c r="C128" s="4" t="s">
        <v>530</v>
      </c>
    </row>
    <row r="129" spans="3:6" outlineLevel="1" x14ac:dyDescent="0.35">
      <c r="C129" s="4" t="s">
        <v>756</v>
      </c>
    </row>
    <row r="130" spans="3:6" outlineLevel="1" x14ac:dyDescent="0.35"/>
    <row r="131" spans="3:6" outlineLevel="1" x14ac:dyDescent="0.35">
      <c r="C131" s="287" t="s">
        <v>1266</v>
      </c>
      <c r="D131" s="287"/>
      <c r="E131" s="287" t="s">
        <v>1267</v>
      </c>
      <c r="F131" s="287"/>
    </row>
    <row r="132" spans="3:6" ht="58" outlineLevel="1" x14ac:dyDescent="0.35">
      <c r="C132" s="63" t="s">
        <v>262</v>
      </c>
      <c r="D132" s="64" t="s">
        <v>792</v>
      </c>
      <c r="E132" s="63" t="s">
        <v>404</v>
      </c>
      <c r="F132" s="64" t="s">
        <v>1268</v>
      </c>
    </row>
    <row r="133" spans="3:6" ht="49.5" customHeight="1" outlineLevel="1" x14ac:dyDescent="0.35">
      <c r="C133" s="63" t="s">
        <v>266</v>
      </c>
      <c r="D133" s="64" t="s">
        <v>793</v>
      </c>
      <c r="E133" s="311"/>
      <c r="F133" s="312"/>
    </row>
    <row r="134" spans="3:6" ht="58" outlineLevel="1" x14ac:dyDescent="0.35">
      <c r="C134" s="65" t="s">
        <v>538</v>
      </c>
      <c r="D134" s="66" t="s">
        <v>794</v>
      </c>
      <c r="E134" s="313"/>
      <c r="F134" s="312"/>
    </row>
    <row r="135" spans="3:6" ht="43.5" outlineLevel="1" x14ac:dyDescent="0.35">
      <c r="C135" s="65" t="s">
        <v>795</v>
      </c>
      <c r="D135" s="66" t="s">
        <v>796</v>
      </c>
      <c r="E135" s="65" t="s">
        <v>795</v>
      </c>
      <c r="F135" s="66" t="s">
        <v>796</v>
      </c>
    </row>
    <row r="136" spans="3:6" ht="87" outlineLevel="1" x14ac:dyDescent="0.35">
      <c r="C136" s="63" t="s">
        <v>529</v>
      </c>
      <c r="D136" s="64" t="s">
        <v>797</v>
      </c>
      <c r="E136" s="63" t="s">
        <v>529</v>
      </c>
      <c r="F136" s="64" t="s">
        <v>797</v>
      </c>
    </row>
    <row r="137" spans="3:6" ht="43.5" outlineLevel="1" x14ac:dyDescent="0.35">
      <c r="C137" s="63" t="s">
        <v>539</v>
      </c>
      <c r="D137" s="64" t="s">
        <v>798</v>
      </c>
      <c r="E137" s="63" t="s">
        <v>539</v>
      </c>
      <c r="F137" s="64" t="s">
        <v>798</v>
      </c>
    </row>
    <row r="138" spans="3:6" ht="130.5" outlineLevel="1" x14ac:dyDescent="0.35">
      <c r="C138" s="67" t="s">
        <v>316</v>
      </c>
      <c r="D138" s="64" t="s">
        <v>799</v>
      </c>
      <c r="E138" s="67" t="s">
        <v>316</v>
      </c>
      <c r="F138" s="64" t="s">
        <v>799</v>
      </c>
    </row>
    <row r="139" spans="3:6" ht="130.5" outlineLevel="1" x14ac:dyDescent="0.35">
      <c r="C139" s="67" t="s">
        <v>317</v>
      </c>
      <c r="D139" s="68" t="s">
        <v>800</v>
      </c>
      <c r="E139" s="67" t="s">
        <v>317</v>
      </c>
      <c r="F139" s="68" t="s">
        <v>800</v>
      </c>
    </row>
    <row r="140" spans="3:6" ht="29" outlineLevel="1" x14ac:dyDescent="0.35">
      <c r="C140" s="67" t="s">
        <v>318</v>
      </c>
      <c r="D140" s="68" t="s">
        <v>801</v>
      </c>
      <c r="E140" s="67" t="s">
        <v>318</v>
      </c>
      <c r="F140" s="68" t="s">
        <v>801</v>
      </c>
    </row>
    <row r="141" spans="3:6" ht="58" outlineLevel="1" x14ac:dyDescent="0.35">
      <c r="C141" s="67" t="s">
        <v>320</v>
      </c>
      <c r="D141" s="68" t="s">
        <v>802</v>
      </c>
      <c r="E141" s="67" t="s">
        <v>320</v>
      </c>
      <c r="F141" s="68" t="s">
        <v>802</v>
      </c>
    </row>
    <row r="142" spans="3:6" ht="29" outlineLevel="1" x14ac:dyDescent="0.35">
      <c r="C142" s="67" t="s">
        <v>229</v>
      </c>
      <c r="D142" s="68" t="s">
        <v>803</v>
      </c>
      <c r="E142" s="67" t="s">
        <v>229</v>
      </c>
      <c r="F142" s="68" t="s">
        <v>803</v>
      </c>
    </row>
    <row r="143" spans="3:6" ht="43.5" outlineLevel="1" x14ac:dyDescent="0.35">
      <c r="C143" s="67" t="s">
        <v>319</v>
      </c>
      <c r="D143" s="68" t="s">
        <v>804</v>
      </c>
      <c r="E143" s="67" t="s">
        <v>319</v>
      </c>
      <c r="F143" s="68" t="s">
        <v>804</v>
      </c>
    </row>
    <row r="144" spans="3:6" ht="43.5" outlineLevel="1" x14ac:dyDescent="0.35">
      <c r="C144" s="67" t="s">
        <v>732</v>
      </c>
      <c r="D144" s="68" t="s">
        <v>805</v>
      </c>
      <c r="E144" s="67" t="s">
        <v>732</v>
      </c>
      <c r="F144" s="68" t="s">
        <v>805</v>
      </c>
    </row>
    <row r="145" spans="3:7" outlineLevel="1" x14ac:dyDescent="0.35"/>
    <row r="147" spans="3:7" x14ac:dyDescent="0.35">
      <c r="C147" s="38" t="s">
        <v>816</v>
      </c>
    </row>
    <row r="148" spans="3:7" hidden="1" outlineLevel="2" x14ac:dyDescent="0.35">
      <c r="C148" s="18" t="s">
        <v>817</v>
      </c>
      <c r="D148" s="18" t="s">
        <v>818</v>
      </c>
      <c r="E148" s="40" t="s">
        <v>819</v>
      </c>
      <c r="F148" s="40" t="s">
        <v>820</v>
      </c>
      <c r="G148" s="40" t="s">
        <v>821</v>
      </c>
    </row>
    <row r="149" spans="3:7" hidden="1" outlineLevel="4" x14ac:dyDescent="0.35">
      <c r="C149" s="69">
        <v>50200010</v>
      </c>
      <c r="D149" s="52" t="s">
        <v>822</v>
      </c>
      <c r="E149" s="52" t="s">
        <v>823</v>
      </c>
      <c r="F149" s="70" t="s">
        <v>268</v>
      </c>
      <c r="G149" s="70" t="s">
        <v>824</v>
      </c>
    </row>
    <row r="150" spans="3:7" hidden="1" outlineLevel="4" x14ac:dyDescent="0.35">
      <c r="C150" s="69">
        <v>50300010</v>
      </c>
      <c r="D150" s="52" t="s">
        <v>33</v>
      </c>
      <c r="E150" s="52" t="s">
        <v>825</v>
      </c>
      <c r="F150" s="71" t="s">
        <v>269</v>
      </c>
      <c r="G150" s="71" t="s">
        <v>34</v>
      </c>
    </row>
    <row r="151" spans="3:7" hidden="1" outlineLevel="4" x14ac:dyDescent="0.35">
      <c r="C151" s="69">
        <v>50300020</v>
      </c>
      <c r="D151" s="52" t="s">
        <v>35</v>
      </c>
      <c r="E151" s="52" t="s">
        <v>826</v>
      </c>
      <c r="F151" s="52" t="s">
        <v>269</v>
      </c>
      <c r="G151" s="71" t="s">
        <v>34</v>
      </c>
    </row>
    <row r="152" spans="3:7" hidden="1" outlineLevel="4" x14ac:dyDescent="0.35">
      <c r="C152" s="69">
        <v>50300030</v>
      </c>
      <c r="D152" s="52" t="s">
        <v>36</v>
      </c>
      <c r="E152" s="52" t="s">
        <v>827</v>
      </c>
      <c r="F152" s="52" t="s">
        <v>269</v>
      </c>
      <c r="G152" s="71" t="s">
        <v>34</v>
      </c>
    </row>
    <row r="153" spans="3:7" hidden="1" outlineLevel="4" x14ac:dyDescent="0.35">
      <c r="C153" s="69">
        <v>50300040</v>
      </c>
      <c r="D153" s="52" t="s">
        <v>37</v>
      </c>
      <c r="E153" s="52" t="s">
        <v>828</v>
      </c>
      <c r="F153" s="52" t="s">
        <v>269</v>
      </c>
      <c r="G153" s="71" t="s">
        <v>34</v>
      </c>
    </row>
    <row r="154" spans="3:7" hidden="1" outlineLevel="4" x14ac:dyDescent="0.35">
      <c r="C154" s="69">
        <v>50300050</v>
      </c>
      <c r="D154" s="52" t="s">
        <v>38</v>
      </c>
      <c r="E154" s="52" t="s">
        <v>829</v>
      </c>
      <c r="F154" s="52" t="s">
        <v>269</v>
      </c>
      <c r="G154" s="71" t="s">
        <v>34</v>
      </c>
    </row>
    <row r="155" spans="3:7" hidden="1" outlineLevel="4" x14ac:dyDescent="0.35">
      <c r="C155" s="69">
        <v>50300060</v>
      </c>
      <c r="D155" s="52" t="s">
        <v>830</v>
      </c>
      <c r="E155" s="52" t="s">
        <v>831</v>
      </c>
      <c r="F155" s="52" t="s">
        <v>269</v>
      </c>
      <c r="G155" s="71" t="s">
        <v>34</v>
      </c>
    </row>
    <row r="156" spans="3:7" hidden="1" outlineLevel="4" x14ac:dyDescent="0.35">
      <c r="C156" s="69">
        <v>50300070</v>
      </c>
      <c r="D156" s="52" t="s">
        <v>313</v>
      </c>
      <c r="E156" s="52" t="s">
        <v>832</v>
      </c>
      <c r="F156" s="56" t="s">
        <v>269</v>
      </c>
      <c r="G156" s="71" t="s">
        <v>34</v>
      </c>
    </row>
    <row r="157" spans="3:7" hidden="1" outlineLevel="4" x14ac:dyDescent="0.35">
      <c r="C157" s="69">
        <v>50300080</v>
      </c>
      <c r="D157" s="52" t="s">
        <v>39</v>
      </c>
      <c r="E157" s="52" t="s">
        <v>833</v>
      </c>
      <c r="F157" s="56" t="s">
        <v>269</v>
      </c>
      <c r="G157" s="71" t="s">
        <v>34</v>
      </c>
    </row>
    <row r="158" spans="3:7" hidden="1" outlineLevel="4" x14ac:dyDescent="0.35">
      <c r="C158" s="69">
        <v>50300090</v>
      </c>
      <c r="D158" s="52" t="s">
        <v>40</v>
      </c>
      <c r="E158" s="52" t="s">
        <v>834</v>
      </c>
      <c r="F158" s="56" t="s">
        <v>269</v>
      </c>
      <c r="G158" s="71" t="s">
        <v>34</v>
      </c>
    </row>
    <row r="159" spans="3:7" hidden="1" outlineLevel="4" x14ac:dyDescent="0.35">
      <c r="C159" s="69">
        <v>50300100</v>
      </c>
      <c r="D159" s="52" t="s">
        <v>41</v>
      </c>
      <c r="E159" s="52" t="s">
        <v>835</v>
      </c>
      <c r="F159" s="56" t="s">
        <v>269</v>
      </c>
      <c r="G159" s="71" t="s">
        <v>34</v>
      </c>
    </row>
    <row r="160" spans="3:7" hidden="1" outlineLevel="4" x14ac:dyDescent="0.35">
      <c r="C160" s="69">
        <v>50300110</v>
      </c>
      <c r="D160" s="52" t="s">
        <v>836</v>
      </c>
      <c r="E160" s="52" t="s">
        <v>837</v>
      </c>
      <c r="F160" s="56" t="s">
        <v>269</v>
      </c>
      <c r="G160" s="71" t="s">
        <v>34</v>
      </c>
    </row>
    <row r="161" spans="3:7" hidden="1" outlineLevel="4" x14ac:dyDescent="0.35">
      <c r="C161" s="69">
        <v>50300120</v>
      </c>
      <c r="D161" s="52" t="s">
        <v>838</v>
      </c>
      <c r="E161" s="52" t="s">
        <v>839</v>
      </c>
      <c r="F161" s="56" t="s">
        <v>269</v>
      </c>
      <c r="G161" s="71" t="s">
        <v>34</v>
      </c>
    </row>
    <row r="162" spans="3:7" hidden="1" outlineLevel="4" x14ac:dyDescent="0.35">
      <c r="C162" s="69">
        <v>50300990</v>
      </c>
      <c r="D162" s="52" t="s">
        <v>42</v>
      </c>
      <c r="E162" s="52" t="s">
        <v>840</v>
      </c>
      <c r="F162" s="56" t="s">
        <v>269</v>
      </c>
      <c r="G162" s="71" t="s">
        <v>34</v>
      </c>
    </row>
    <row r="163" spans="3:7" hidden="1" outlineLevel="4" x14ac:dyDescent="0.35">
      <c r="C163" s="69">
        <v>50400010</v>
      </c>
      <c r="D163" s="52" t="s">
        <v>841</v>
      </c>
      <c r="E163" s="52" t="s">
        <v>842</v>
      </c>
      <c r="F163" s="56" t="s">
        <v>270</v>
      </c>
      <c r="G163" s="71" t="s">
        <v>34</v>
      </c>
    </row>
    <row r="164" spans="3:7" hidden="1" outlineLevel="4" x14ac:dyDescent="0.35">
      <c r="C164" s="69">
        <v>50500010</v>
      </c>
      <c r="D164" s="52" t="s">
        <v>843</v>
      </c>
      <c r="E164" s="52" t="s">
        <v>844</v>
      </c>
      <c r="F164" s="56" t="s">
        <v>271</v>
      </c>
      <c r="G164" s="70" t="s">
        <v>824</v>
      </c>
    </row>
    <row r="165" spans="3:7" hidden="1" outlineLevel="4" x14ac:dyDescent="0.35">
      <c r="C165" s="69">
        <v>50500020</v>
      </c>
      <c r="D165" s="52" t="s">
        <v>314</v>
      </c>
      <c r="E165" s="52" t="s">
        <v>845</v>
      </c>
      <c r="F165" s="56" t="s">
        <v>271</v>
      </c>
      <c r="G165" s="70" t="s">
        <v>824</v>
      </c>
    </row>
    <row r="166" spans="3:7" hidden="1" outlineLevel="4" x14ac:dyDescent="0.35">
      <c r="C166" s="69">
        <v>50500030</v>
      </c>
      <c r="D166" s="52" t="s">
        <v>846</v>
      </c>
      <c r="E166" s="52" t="s">
        <v>58</v>
      </c>
      <c r="F166" s="56" t="s">
        <v>271</v>
      </c>
      <c r="G166" s="70" t="s">
        <v>824</v>
      </c>
    </row>
    <row r="167" spans="3:7" hidden="1" outlineLevel="4" x14ac:dyDescent="0.35">
      <c r="C167" s="69">
        <v>50500040</v>
      </c>
      <c r="D167" s="52" t="s">
        <v>60</v>
      </c>
      <c r="E167" s="52" t="s">
        <v>847</v>
      </c>
      <c r="F167" s="56" t="s">
        <v>271</v>
      </c>
      <c r="G167" s="70" t="s">
        <v>824</v>
      </c>
    </row>
    <row r="168" spans="3:7" hidden="1" outlineLevel="4" x14ac:dyDescent="0.35">
      <c r="C168" s="69">
        <v>50600010</v>
      </c>
      <c r="D168" s="52" t="s">
        <v>231</v>
      </c>
      <c r="E168" s="52" t="s">
        <v>848</v>
      </c>
      <c r="F168" s="56" t="s">
        <v>272</v>
      </c>
      <c r="G168" s="70" t="s">
        <v>824</v>
      </c>
    </row>
    <row r="169" spans="3:7" hidden="1" outlineLevel="4" x14ac:dyDescent="0.35">
      <c r="C169" s="69">
        <v>50600020</v>
      </c>
      <c r="D169" s="52" t="s">
        <v>232</v>
      </c>
      <c r="E169" s="52" t="s">
        <v>849</v>
      </c>
      <c r="F169" s="56" t="s">
        <v>272</v>
      </c>
      <c r="G169" s="70" t="s">
        <v>824</v>
      </c>
    </row>
    <row r="170" spans="3:7" hidden="1" outlineLevel="4" x14ac:dyDescent="0.35">
      <c r="C170" s="69">
        <v>50600030</v>
      </c>
      <c r="D170" s="52" t="s">
        <v>850</v>
      </c>
      <c r="E170" s="52" t="s">
        <v>851</v>
      </c>
      <c r="F170" s="56" t="s">
        <v>272</v>
      </c>
      <c r="G170" s="70" t="s">
        <v>824</v>
      </c>
    </row>
    <row r="171" spans="3:7" hidden="1" outlineLevel="4" x14ac:dyDescent="0.35">
      <c r="C171" s="69">
        <v>50600040</v>
      </c>
      <c r="D171" s="52" t="s">
        <v>234</v>
      </c>
      <c r="E171" s="52" t="s">
        <v>852</v>
      </c>
      <c r="F171" s="56" t="s">
        <v>272</v>
      </c>
      <c r="G171" s="70" t="s">
        <v>824</v>
      </c>
    </row>
    <row r="172" spans="3:7" hidden="1" outlineLevel="4" x14ac:dyDescent="0.35">
      <c r="C172" s="69">
        <v>50800010</v>
      </c>
      <c r="D172" s="52" t="s">
        <v>853</v>
      </c>
      <c r="E172" s="52" t="s">
        <v>854</v>
      </c>
      <c r="F172" s="56" t="s">
        <v>273</v>
      </c>
      <c r="G172" s="70" t="s">
        <v>824</v>
      </c>
    </row>
    <row r="173" spans="3:7" hidden="1" outlineLevel="4" x14ac:dyDescent="0.35">
      <c r="C173" s="69">
        <v>50800020</v>
      </c>
      <c r="D173" s="52" t="s">
        <v>64</v>
      </c>
      <c r="E173" s="52" t="s">
        <v>855</v>
      </c>
      <c r="F173" s="56" t="s">
        <v>273</v>
      </c>
      <c r="G173" s="70" t="s">
        <v>824</v>
      </c>
    </row>
    <row r="174" spans="3:7" hidden="1" outlineLevel="4" x14ac:dyDescent="0.35">
      <c r="C174" s="69">
        <v>50800030</v>
      </c>
      <c r="D174" s="52" t="s">
        <v>65</v>
      </c>
      <c r="E174" s="52" t="s">
        <v>856</v>
      </c>
      <c r="F174" s="56" t="s">
        <v>273</v>
      </c>
      <c r="G174" s="70" t="s">
        <v>824</v>
      </c>
    </row>
    <row r="175" spans="3:7" hidden="1" outlineLevel="4" x14ac:dyDescent="0.35">
      <c r="C175" s="69">
        <v>50800040</v>
      </c>
      <c r="D175" s="52" t="s">
        <v>66</v>
      </c>
      <c r="E175" s="52" t="s">
        <v>857</v>
      </c>
      <c r="F175" s="56" t="s">
        <v>273</v>
      </c>
      <c r="G175" s="70" t="s">
        <v>824</v>
      </c>
    </row>
    <row r="176" spans="3:7" hidden="1" outlineLevel="4" x14ac:dyDescent="0.35">
      <c r="C176" s="69">
        <v>50800050</v>
      </c>
      <c r="D176" s="52" t="s">
        <v>67</v>
      </c>
      <c r="E176" s="52" t="s">
        <v>858</v>
      </c>
      <c r="F176" s="56" t="s">
        <v>273</v>
      </c>
      <c r="G176" s="70" t="s">
        <v>824</v>
      </c>
    </row>
    <row r="177" spans="3:7" hidden="1" outlineLevel="4" x14ac:dyDescent="0.35">
      <c r="C177" s="69">
        <v>50800060</v>
      </c>
      <c r="D177" s="52" t="s">
        <v>68</v>
      </c>
      <c r="E177" s="52" t="s">
        <v>859</v>
      </c>
      <c r="F177" s="56" t="s">
        <v>273</v>
      </c>
      <c r="G177" s="70" t="s">
        <v>824</v>
      </c>
    </row>
    <row r="178" spans="3:7" hidden="1" outlineLevel="4" x14ac:dyDescent="0.35">
      <c r="C178" s="69">
        <v>50800070</v>
      </c>
      <c r="D178" s="52" t="s">
        <v>69</v>
      </c>
      <c r="E178" s="52" t="s">
        <v>860</v>
      </c>
      <c r="F178" s="56" t="s">
        <v>273</v>
      </c>
      <c r="G178" s="70" t="s">
        <v>824</v>
      </c>
    </row>
    <row r="179" spans="3:7" hidden="1" outlineLevel="4" x14ac:dyDescent="0.35">
      <c r="C179" s="69">
        <v>51100000</v>
      </c>
      <c r="D179" s="52" t="s">
        <v>235</v>
      </c>
      <c r="E179" s="52" t="s">
        <v>861</v>
      </c>
      <c r="F179" s="56" t="s">
        <v>274</v>
      </c>
      <c r="G179" s="70" t="s">
        <v>824</v>
      </c>
    </row>
    <row r="180" spans="3:7" hidden="1" outlineLevel="4" x14ac:dyDescent="0.35">
      <c r="C180" s="69">
        <v>51300010</v>
      </c>
      <c r="D180" s="52" t="s">
        <v>245</v>
      </c>
      <c r="E180" s="52" t="s">
        <v>862</v>
      </c>
      <c r="F180" s="56" t="s">
        <v>276</v>
      </c>
      <c r="G180" s="56" t="s">
        <v>139</v>
      </c>
    </row>
    <row r="181" spans="3:7" hidden="1" outlineLevel="4" x14ac:dyDescent="0.35">
      <c r="C181" s="69">
        <v>51300040</v>
      </c>
      <c r="D181" s="52" t="s">
        <v>248</v>
      </c>
      <c r="E181" s="52" t="s">
        <v>863</v>
      </c>
      <c r="F181" s="56" t="s">
        <v>276</v>
      </c>
      <c r="G181" s="56" t="s">
        <v>139</v>
      </c>
    </row>
    <row r="182" spans="3:7" hidden="1" outlineLevel="4" x14ac:dyDescent="0.35">
      <c r="C182" s="69">
        <v>51300050</v>
      </c>
      <c r="D182" s="52" t="s">
        <v>249</v>
      </c>
      <c r="E182" s="52" t="s">
        <v>864</v>
      </c>
      <c r="F182" s="56" t="s">
        <v>276</v>
      </c>
      <c r="G182" s="56" t="s">
        <v>139</v>
      </c>
    </row>
    <row r="183" spans="3:7" hidden="1" outlineLevel="4" x14ac:dyDescent="0.35">
      <c r="C183" s="69">
        <v>51300060</v>
      </c>
      <c r="D183" s="52" t="s">
        <v>250</v>
      </c>
      <c r="E183" s="52" t="s">
        <v>865</v>
      </c>
      <c r="F183" s="56" t="s">
        <v>276</v>
      </c>
      <c r="G183" s="56" t="s">
        <v>139</v>
      </c>
    </row>
    <row r="184" spans="3:7" hidden="1" outlineLevel="4" x14ac:dyDescent="0.35">
      <c r="C184" s="69">
        <v>51300090</v>
      </c>
      <c r="D184" s="52" t="s">
        <v>253</v>
      </c>
      <c r="E184" s="52" t="s">
        <v>866</v>
      </c>
      <c r="F184" s="56" t="s">
        <v>276</v>
      </c>
      <c r="G184" s="56" t="s">
        <v>139</v>
      </c>
    </row>
    <row r="185" spans="3:7" hidden="1" outlineLevel="4" x14ac:dyDescent="0.35">
      <c r="C185" s="69">
        <v>51500010</v>
      </c>
      <c r="D185" s="52" t="s">
        <v>867</v>
      </c>
      <c r="E185" s="52" t="s">
        <v>868</v>
      </c>
      <c r="F185" s="56" t="s">
        <v>278</v>
      </c>
      <c r="G185" s="70" t="s">
        <v>824</v>
      </c>
    </row>
    <row r="186" spans="3:7" hidden="1" outlineLevel="4" x14ac:dyDescent="0.35">
      <c r="C186" s="69">
        <v>51600010</v>
      </c>
      <c r="D186" s="52" t="s">
        <v>74</v>
      </c>
      <c r="E186" s="52" t="s">
        <v>869</v>
      </c>
      <c r="F186" s="56" t="s">
        <v>279</v>
      </c>
      <c r="G186" s="70" t="s">
        <v>824</v>
      </c>
    </row>
    <row r="187" spans="3:7" hidden="1" outlineLevel="4" x14ac:dyDescent="0.35">
      <c r="C187" s="69">
        <v>51600020</v>
      </c>
      <c r="D187" s="52" t="s">
        <v>75</v>
      </c>
      <c r="E187" s="52" t="s">
        <v>870</v>
      </c>
      <c r="F187" s="56" t="s">
        <v>279</v>
      </c>
      <c r="G187" s="70" t="s">
        <v>824</v>
      </c>
    </row>
    <row r="188" spans="3:7" hidden="1" outlineLevel="4" x14ac:dyDescent="0.35">
      <c r="C188" s="69">
        <v>51600030</v>
      </c>
      <c r="D188" s="52" t="s">
        <v>76</v>
      </c>
      <c r="E188" s="52" t="s">
        <v>871</v>
      </c>
      <c r="F188" s="56" t="s">
        <v>279</v>
      </c>
      <c r="G188" s="70" t="s">
        <v>824</v>
      </c>
    </row>
    <row r="189" spans="3:7" hidden="1" outlineLevel="4" x14ac:dyDescent="0.35">
      <c r="C189" s="69">
        <v>51600040</v>
      </c>
      <c r="D189" s="52" t="s">
        <v>77</v>
      </c>
      <c r="E189" s="52" t="s">
        <v>872</v>
      </c>
      <c r="F189" s="56" t="s">
        <v>279</v>
      </c>
      <c r="G189" s="70" t="s">
        <v>824</v>
      </c>
    </row>
    <row r="190" spans="3:7" hidden="1" outlineLevel="4" x14ac:dyDescent="0.35">
      <c r="C190" s="69">
        <v>51600050</v>
      </c>
      <c r="D190" s="52" t="s">
        <v>256</v>
      </c>
      <c r="E190" s="52" t="s">
        <v>873</v>
      </c>
      <c r="F190" s="56" t="s">
        <v>279</v>
      </c>
      <c r="G190" s="70" t="s">
        <v>824</v>
      </c>
    </row>
    <row r="191" spans="3:7" hidden="1" outlineLevel="4" x14ac:dyDescent="0.35">
      <c r="C191" s="69">
        <v>51600070</v>
      </c>
      <c r="D191" s="52" t="s">
        <v>78</v>
      </c>
      <c r="E191" s="52" t="s">
        <v>874</v>
      </c>
      <c r="F191" s="56" t="s">
        <v>279</v>
      </c>
      <c r="G191" s="70" t="s">
        <v>824</v>
      </c>
    </row>
    <row r="192" spans="3:7" hidden="1" outlineLevel="4" x14ac:dyDescent="0.35">
      <c r="C192" s="69">
        <v>51700010</v>
      </c>
      <c r="D192" s="52" t="s">
        <v>79</v>
      </c>
      <c r="E192" s="52" t="s">
        <v>875</v>
      </c>
      <c r="F192" s="56" t="s">
        <v>280</v>
      </c>
      <c r="G192" s="70" t="s">
        <v>824</v>
      </c>
    </row>
    <row r="193" spans="3:7" hidden="1" outlineLevel="4" x14ac:dyDescent="0.35">
      <c r="C193" s="69">
        <v>51700030</v>
      </c>
      <c r="D193" s="52" t="s">
        <v>80</v>
      </c>
      <c r="E193" s="52" t="s">
        <v>876</v>
      </c>
      <c r="F193" s="56" t="s">
        <v>280</v>
      </c>
      <c r="G193" s="70" t="s">
        <v>824</v>
      </c>
    </row>
    <row r="194" spans="3:7" hidden="1" outlineLevel="4" x14ac:dyDescent="0.35">
      <c r="C194" s="69">
        <v>51700040</v>
      </c>
      <c r="D194" s="52" t="s">
        <v>81</v>
      </c>
      <c r="E194" s="52" t="s">
        <v>877</v>
      </c>
      <c r="F194" s="56" t="s">
        <v>280</v>
      </c>
      <c r="G194" s="70" t="s">
        <v>824</v>
      </c>
    </row>
    <row r="195" spans="3:7" hidden="1" outlineLevel="4" x14ac:dyDescent="0.35">
      <c r="C195" s="69">
        <v>51700050</v>
      </c>
      <c r="D195" s="52" t="s">
        <v>82</v>
      </c>
      <c r="E195" s="52" t="s">
        <v>878</v>
      </c>
      <c r="F195" s="56" t="s">
        <v>280</v>
      </c>
      <c r="G195" s="70" t="s">
        <v>824</v>
      </c>
    </row>
    <row r="196" spans="3:7" hidden="1" outlineLevel="4" x14ac:dyDescent="0.35">
      <c r="C196" s="69">
        <v>51700060</v>
      </c>
      <c r="D196" s="52" t="s">
        <v>83</v>
      </c>
      <c r="E196" s="52" t="s">
        <v>879</v>
      </c>
      <c r="F196" s="56" t="s">
        <v>280</v>
      </c>
      <c r="G196" s="70" t="s">
        <v>824</v>
      </c>
    </row>
    <row r="197" spans="3:7" hidden="1" outlineLevel="4" x14ac:dyDescent="0.35">
      <c r="C197" s="69">
        <v>51700070</v>
      </c>
      <c r="D197" s="52" t="s">
        <v>84</v>
      </c>
      <c r="E197" s="52" t="s">
        <v>880</v>
      </c>
      <c r="F197" s="56" t="s">
        <v>280</v>
      </c>
      <c r="G197" s="70" t="s">
        <v>824</v>
      </c>
    </row>
    <row r="198" spans="3:7" hidden="1" outlineLevel="4" x14ac:dyDescent="0.35">
      <c r="C198" s="69">
        <v>51800010</v>
      </c>
      <c r="D198" s="52" t="s">
        <v>85</v>
      </c>
      <c r="E198" s="52" t="s">
        <v>881</v>
      </c>
      <c r="F198" s="56" t="s">
        <v>281</v>
      </c>
      <c r="G198" s="70" t="s">
        <v>824</v>
      </c>
    </row>
    <row r="199" spans="3:7" hidden="1" outlineLevel="4" x14ac:dyDescent="0.35">
      <c r="C199" s="69">
        <v>51800020</v>
      </c>
      <c r="D199" s="52" t="s">
        <v>86</v>
      </c>
      <c r="E199" s="52" t="s">
        <v>882</v>
      </c>
      <c r="F199" s="56" t="s">
        <v>281</v>
      </c>
      <c r="G199" s="70" t="s">
        <v>824</v>
      </c>
    </row>
    <row r="200" spans="3:7" hidden="1" outlineLevel="4" x14ac:dyDescent="0.35">
      <c r="C200" s="69">
        <v>51800030</v>
      </c>
      <c r="D200" s="52" t="s">
        <v>87</v>
      </c>
      <c r="E200" s="52" t="s">
        <v>883</v>
      </c>
      <c r="F200" s="56" t="s">
        <v>281</v>
      </c>
      <c r="G200" s="70" t="s">
        <v>824</v>
      </c>
    </row>
    <row r="201" spans="3:7" hidden="1" outlineLevel="4" x14ac:dyDescent="0.35">
      <c r="C201" s="69">
        <v>51800090</v>
      </c>
      <c r="D201" s="52" t="s">
        <v>88</v>
      </c>
      <c r="E201" s="52" t="s">
        <v>884</v>
      </c>
      <c r="F201" s="56" t="s">
        <v>281</v>
      </c>
      <c r="G201" s="70" t="s">
        <v>824</v>
      </c>
    </row>
    <row r="202" spans="3:7" hidden="1" outlineLevel="4" x14ac:dyDescent="0.35">
      <c r="C202" s="69">
        <v>51900010</v>
      </c>
      <c r="D202" s="52" t="s">
        <v>89</v>
      </c>
      <c r="E202" s="52" t="s">
        <v>885</v>
      </c>
      <c r="F202" s="56" t="s">
        <v>230</v>
      </c>
      <c r="G202" s="70" t="s">
        <v>824</v>
      </c>
    </row>
    <row r="203" spans="3:7" hidden="1" outlineLevel="4" x14ac:dyDescent="0.35">
      <c r="C203" s="69">
        <v>51900020</v>
      </c>
      <c r="D203" s="52" t="s">
        <v>91</v>
      </c>
      <c r="E203" s="52" t="s">
        <v>886</v>
      </c>
      <c r="F203" s="56" t="s">
        <v>230</v>
      </c>
      <c r="G203" s="70" t="s">
        <v>824</v>
      </c>
    </row>
    <row r="204" spans="3:7" hidden="1" outlineLevel="4" x14ac:dyDescent="0.35">
      <c r="C204" s="69">
        <v>51900030</v>
      </c>
      <c r="D204" s="52" t="s">
        <v>92</v>
      </c>
      <c r="E204" s="52" t="s">
        <v>887</v>
      </c>
      <c r="F204" s="56" t="s">
        <v>230</v>
      </c>
      <c r="G204" s="70" t="s">
        <v>824</v>
      </c>
    </row>
    <row r="205" spans="3:7" hidden="1" outlineLevel="4" x14ac:dyDescent="0.35">
      <c r="C205" s="69">
        <v>51900040</v>
      </c>
      <c r="D205" s="52" t="s">
        <v>93</v>
      </c>
      <c r="E205" s="52" t="s">
        <v>888</v>
      </c>
      <c r="F205" s="56" t="s">
        <v>230</v>
      </c>
      <c r="G205" s="70" t="s">
        <v>824</v>
      </c>
    </row>
    <row r="206" spans="3:7" hidden="1" outlineLevel="4" x14ac:dyDescent="0.35">
      <c r="C206" s="69">
        <v>51900090</v>
      </c>
      <c r="D206" s="52" t="s">
        <v>94</v>
      </c>
      <c r="E206" s="52" t="s">
        <v>889</v>
      </c>
      <c r="F206" s="56" t="s">
        <v>230</v>
      </c>
      <c r="G206" s="70" t="s">
        <v>824</v>
      </c>
    </row>
    <row r="207" spans="3:7" hidden="1" outlineLevel="4" x14ac:dyDescent="0.35">
      <c r="C207" s="69">
        <v>52100010</v>
      </c>
      <c r="D207" s="52" t="s">
        <v>98</v>
      </c>
      <c r="E207" s="52" t="s">
        <v>99</v>
      </c>
      <c r="F207" s="56" t="s">
        <v>283</v>
      </c>
      <c r="G207" s="70" t="s">
        <v>824</v>
      </c>
    </row>
    <row r="208" spans="3:7" hidden="1" outlineLevel="4" x14ac:dyDescent="0.35">
      <c r="C208" s="69">
        <v>52100020</v>
      </c>
      <c r="D208" s="52" t="s">
        <v>100</v>
      </c>
      <c r="E208" s="52" t="s">
        <v>890</v>
      </c>
      <c r="F208" s="56" t="s">
        <v>283</v>
      </c>
      <c r="G208" s="70" t="s">
        <v>824</v>
      </c>
    </row>
    <row r="209" spans="3:7" hidden="1" outlineLevel="4" x14ac:dyDescent="0.35">
      <c r="C209" s="69">
        <v>52100030</v>
      </c>
      <c r="D209" s="52" t="s">
        <v>101</v>
      </c>
      <c r="E209" s="52" t="s">
        <v>102</v>
      </c>
      <c r="F209" s="56" t="s">
        <v>283</v>
      </c>
      <c r="G209" s="70" t="s">
        <v>824</v>
      </c>
    </row>
    <row r="210" spans="3:7" hidden="1" outlineLevel="4" x14ac:dyDescent="0.35">
      <c r="C210" s="69">
        <v>52100040</v>
      </c>
      <c r="D210" s="52" t="s">
        <v>103</v>
      </c>
      <c r="E210" s="52" t="s">
        <v>104</v>
      </c>
      <c r="F210" s="56" t="s">
        <v>283</v>
      </c>
      <c r="G210" s="70" t="s">
        <v>824</v>
      </c>
    </row>
    <row r="211" spans="3:7" hidden="1" outlineLevel="4" x14ac:dyDescent="0.35">
      <c r="C211" s="69">
        <v>52100050</v>
      </c>
      <c r="D211" s="52" t="s">
        <v>105</v>
      </c>
      <c r="E211" s="52" t="s">
        <v>891</v>
      </c>
      <c r="F211" s="56" t="s">
        <v>283</v>
      </c>
      <c r="G211" s="70" t="s">
        <v>824</v>
      </c>
    </row>
    <row r="212" spans="3:7" ht="29" hidden="1" outlineLevel="4" x14ac:dyDescent="0.35">
      <c r="C212" s="69">
        <v>52200010</v>
      </c>
      <c r="D212" s="52" t="s">
        <v>106</v>
      </c>
      <c r="E212" s="52" t="s">
        <v>107</v>
      </c>
      <c r="F212" s="56" t="s">
        <v>284</v>
      </c>
      <c r="G212" s="70" t="s">
        <v>824</v>
      </c>
    </row>
    <row r="213" spans="3:7" ht="29" hidden="1" outlineLevel="4" x14ac:dyDescent="0.35">
      <c r="C213" s="69">
        <v>52200020</v>
      </c>
      <c r="D213" s="52" t="s">
        <v>108</v>
      </c>
      <c r="E213" s="52" t="s">
        <v>109</v>
      </c>
      <c r="F213" s="56" t="s">
        <v>284</v>
      </c>
      <c r="G213" s="70" t="s">
        <v>824</v>
      </c>
    </row>
    <row r="214" spans="3:7" hidden="1" outlineLevel="4" x14ac:dyDescent="0.35">
      <c r="C214" s="69">
        <v>52300010</v>
      </c>
      <c r="D214" s="52" t="s">
        <v>110</v>
      </c>
      <c r="E214" s="52" t="s">
        <v>892</v>
      </c>
      <c r="F214" s="56" t="s">
        <v>285</v>
      </c>
      <c r="G214" s="70" t="s">
        <v>824</v>
      </c>
    </row>
    <row r="215" spans="3:7" hidden="1" outlineLevel="4" x14ac:dyDescent="0.35">
      <c r="C215" s="69">
        <v>52300020</v>
      </c>
      <c r="D215" s="52" t="s">
        <v>112</v>
      </c>
      <c r="E215" s="52" t="s">
        <v>893</v>
      </c>
      <c r="F215" s="56" t="s">
        <v>285</v>
      </c>
      <c r="G215" s="70" t="s">
        <v>824</v>
      </c>
    </row>
    <row r="216" spans="3:7" hidden="1" outlineLevel="4" x14ac:dyDescent="0.35">
      <c r="C216" s="69">
        <v>52400030</v>
      </c>
      <c r="D216" s="52" t="s">
        <v>114</v>
      </c>
      <c r="E216" s="52" t="s">
        <v>894</v>
      </c>
      <c r="F216" s="56" t="s">
        <v>286</v>
      </c>
      <c r="G216" s="70" t="s">
        <v>824</v>
      </c>
    </row>
    <row r="217" spans="3:7" hidden="1" outlineLevel="4" x14ac:dyDescent="0.35">
      <c r="C217" s="69">
        <v>52400040</v>
      </c>
      <c r="D217" s="52" t="s">
        <v>116</v>
      </c>
      <c r="E217" s="52" t="s">
        <v>895</v>
      </c>
      <c r="F217" s="56" t="s">
        <v>286</v>
      </c>
      <c r="G217" s="70" t="s">
        <v>824</v>
      </c>
    </row>
    <row r="218" spans="3:7" hidden="1" outlineLevel="4" x14ac:dyDescent="0.35">
      <c r="C218" s="69">
        <v>52400060</v>
      </c>
      <c r="D218" s="52" t="s">
        <v>258</v>
      </c>
      <c r="E218" s="52" t="s">
        <v>896</v>
      </c>
      <c r="F218" s="56" t="s">
        <v>286</v>
      </c>
      <c r="G218" s="70" t="s">
        <v>824</v>
      </c>
    </row>
    <row r="219" spans="3:7" hidden="1" outlineLevel="4" x14ac:dyDescent="0.35">
      <c r="C219" s="69">
        <v>52500010</v>
      </c>
      <c r="D219" s="52" t="s">
        <v>117</v>
      </c>
      <c r="E219" s="52" t="s">
        <v>897</v>
      </c>
      <c r="F219" s="56" t="s">
        <v>117</v>
      </c>
      <c r="G219" s="70" t="s">
        <v>824</v>
      </c>
    </row>
    <row r="220" spans="3:7" hidden="1" outlineLevel="4" x14ac:dyDescent="0.35">
      <c r="C220" s="69">
        <v>52600020</v>
      </c>
      <c r="D220" s="52" t="s">
        <v>120</v>
      </c>
      <c r="E220" s="52" t="s">
        <v>898</v>
      </c>
      <c r="F220" s="56" t="s">
        <v>287</v>
      </c>
      <c r="G220" s="70" t="s">
        <v>824</v>
      </c>
    </row>
    <row r="221" spans="3:7" hidden="1" outlineLevel="4" x14ac:dyDescent="0.35">
      <c r="C221" s="69">
        <v>52600030</v>
      </c>
      <c r="D221" s="52" t="s">
        <v>121</v>
      </c>
      <c r="E221" s="52" t="s">
        <v>899</v>
      </c>
      <c r="F221" s="56" t="s">
        <v>287</v>
      </c>
      <c r="G221" s="70" t="s">
        <v>824</v>
      </c>
    </row>
    <row r="222" spans="3:7" hidden="1" outlineLevel="4" x14ac:dyDescent="0.35">
      <c r="C222" s="69">
        <v>52900010</v>
      </c>
      <c r="D222" s="52" t="s">
        <v>122</v>
      </c>
      <c r="E222" s="52" t="s">
        <v>900</v>
      </c>
      <c r="F222" s="56" t="s">
        <v>288</v>
      </c>
      <c r="G222" s="70" t="s">
        <v>824</v>
      </c>
    </row>
    <row r="223" spans="3:7" hidden="1" outlineLevel="4" x14ac:dyDescent="0.35">
      <c r="C223" s="69">
        <v>52900020</v>
      </c>
      <c r="D223" s="52" t="s">
        <v>124</v>
      </c>
      <c r="E223" s="52" t="s">
        <v>901</v>
      </c>
      <c r="F223" s="56" t="s">
        <v>288</v>
      </c>
      <c r="G223" s="70" t="s">
        <v>824</v>
      </c>
    </row>
    <row r="224" spans="3:7" hidden="1" outlineLevel="4" x14ac:dyDescent="0.35">
      <c r="C224" s="69">
        <v>53100010</v>
      </c>
      <c r="D224" s="52" t="s">
        <v>261</v>
      </c>
      <c r="E224" s="52" t="s">
        <v>902</v>
      </c>
      <c r="F224" s="56" t="s">
        <v>261</v>
      </c>
      <c r="G224" s="70" t="s">
        <v>824</v>
      </c>
    </row>
    <row r="225" spans="3:7" hidden="1" outlineLevel="4" x14ac:dyDescent="0.35">
      <c r="C225" s="72"/>
      <c r="D225" s="61"/>
      <c r="E225" s="62"/>
      <c r="F225" s="62"/>
      <c r="G225" s="62"/>
    </row>
    <row r="226" spans="3:7" collapsed="1" x14ac:dyDescent="0.35"/>
    <row r="228" spans="3:7" x14ac:dyDescent="0.35">
      <c r="C228" s="38" t="s">
        <v>903</v>
      </c>
    </row>
    <row r="229" spans="3:7" x14ac:dyDescent="0.35">
      <c r="C229" s="18" t="s">
        <v>817</v>
      </c>
      <c r="D229" s="18" t="s">
        <v>818</v>
      </c>
      <c r="E229" s="40" t="s">
        <v>819</v>
      </c>
      <c r="F229" s="40" t="s">
        <v>820</v>
      </c>
      <c r="G229" s="40" t="s">
        <v>821</v>
      </c>
    </row>
    <row r="230" spans="3:7" x14ac:dyDescent="0.35">
      <c r="C230" s="69">
        <v>60100010</v>
      </c>
      <c r="D230" s="52" t="s">
        <v>43</v>
      </c>
      <c r="E230" s="52" t="s">
        <v>904</v>
      </c>
      <c r="F230" s="70" t="s">
        <v>290</v>
      </c>
      <c r="G230" s="70" t="s">
        <v>34</v>
      </c>
    </row>
    <row r="231" spans="3:7" x14ac:dyDescent="0.35">
      <c r="C231" s="69">
        <v>60100020</v>
      </c>
      <c r="D231" s="52" t="s">
        <v>44</v>
      </c>
      <c r="E231" s="52" t="s">
        <v>905</v>
      </c>
      <c r="F231" s="71" t="s">
        <v>290</v>
      </c>
      <c r="G231" s="71" t="s">
        <v>34</v>
      </c>
    </row>
    <row r="232" spans="3:7" x14ac:dyDescent="0.35">
      <c r="C232" s="69">
        <v>60100030</v>
      </c>
      <c r="D232" s="52" t="s">
        <v>45</v>
      </c>
      <c r="E232" s="52" t="s">
        <v>906</v>
      </c>
      <c r="F232" s="52" t="s">
        <v>290</v>
      </c>
      <c r="G232" s="71" t="s">
        <v>34</v>
      </c>
    </row>
    <row r="233" spans="3:7" x14ac:dyDescent="0.35">
      <c r="C233" s="69">
        <v>60100040</v>
      </c>
      <c r="D233" s="52" t="s">
        <v>46</v>
      </c>
      <c r="E233" s="52" t="s">
        <v>907</v>
      </c>
      <c r="F233" s="52" t="s">
        <v>290</v>
      </c>
      <c r="G233" s="71" t="s">
        <v>34</v>
      </c>
    </row>
    <row r="234" spans="3:7" x14ac:dyDescent="0.35">
      <c r="C234" s="69">
        <v>60100050</v>
      </c>
      <c r="D234" s="52" t="s">
        <v>47</v>
      </c>
      <c r="E234" s="52" t="s">
        <v>908</v>
      </c>
      <c r="F234" s="52" t="s">
        <v>290</v>
      </c>
      <c r="G234" s="71" t="s">
        <v>34</v>
      </c>
    </row>
    <row r="235" spans="3:7" x14ac:dyDescent="0.35">
      <c r="C235" s="69">
        <v>60100060</v>
      </c>
      <c r="D235" s="52" t="s">
        <v>48</v>
      </c>
      <c r="E235" s="52" t="s">
        <v>909</v>
      </c>
      <c r="F235" s="52" t="s">
        <v>290</v>
      </c>
      <c r="G235" s="71" t="s">
        <v>34</v>
      </c>
    </row>
    <row r="236" spans="3:7" x14ac:dyDescent="0.35">
      <c r="C236" s="69">
        <v>60100070</v>
      </c>
      <c r="D236" s="52" t="s">
        <v>49</v>
      </c>
      <c r="E236" s="52" t="s">
        <v>910</v>
      </c>
      <c r="F236" s="52" t="s">
        <v>290</v>
      </c>
      <c r="G236" s="71" t="s">
        <v>34</v>
      </c>
    </row>
    <row r="237" spans="3:7" x14ac:dyDescent="0.35">
      <c r="C237" s="69">
        <v>60100080</v>
      </c>
      <c r="D237" s="52" t="s">
        <v>50</v>
      </c>
      <c r="E237" s="52" t="s">
        <v>911</v>
      </c>
      <c r="F237" s="56" t="s">
        <v>290</v>
      </c>
      <c r="G237" s="71" t="s">
        <v>34</v>
      </c>
    </row>
    <row r="238" spans="3:7" x14ac:dyDescent="0.35">
      <c r="C238" s="69">
        <v>60100090</v>
      </c>
      <c r="D238" s="52" t="s">
        <v>51</v>
      </c>
      <c r="E238" s="52" t="s">
        <v>912</v>
      </c>
      <c r="F238" s="56" t="s">
        <v>290</v>
      </c>
      <c r="G238" s="71" t="s">
        <v>34</v>
      </c>
    </row>
    <row r="239" spans="3:7" x14ac:dyDescent="0.35">
      <c r="C239" s="69">
        <v>60100100</v>
      </c>
      <c r="D239" s="52" t="s">
        <v>52</v>
      </c>
      <c r="E239" s="52" t="s">
        <v>913</v>
      </c>
      <c r="F239" s="56" t="s">
        <v>290</v>
      </c>
      <c r="G239" s="71" t="s">
        <v>34</v>
      </c>
    </row>
    <row r="240" spans="3:7" x14ac:dyDescent="0.35">
      <c r="C240" s="69">
        <v>60100110</v>
      </c>
      <c r="D240" s="52" t="s">
        <v>53</v>
      </c>
      <c r="E240" s="52" t="s">
        <v>914</v>
      </c>
      <c r="F240" s="56" t="s">
        <v>290</v>
      </c>
      <c r="G240" s="71" t="s">
        <v>34</v>
      </c>
    </row>
    <row r="241" spans="3:7" x14ac:dyDescent="0.35">
      <c r="C241" s="69">
        <v>60100120</v>
      </c>
      <c r="D241" s="52" t="s">
        <v>915</v>
      </c>
      <c r="E241" s="52" t="s">
        <v>907</v>
      </c>
      <c r="F241" s="56" t="s">
        <v>290</v>
      </c>
      <c r="G241" s="71" t="s">
        <v>34</v>
      </c>
    </row>
    <row r="242" spans="3:7" x14ac:dyDescent="0.35">
      <c r="C242" s="69">
        <v>60100990</v>
      </c>
      <c r="D242" s="52" t="s">
        <v>54</v>
      </c>
      <c r="E242" s="52" t="s">
        <v>916</v>
      </c>
      <c r="F242" s="56" t="s">
        <v>290</v>
      </c>
      <c r="G242" s="71" t="s">
        <v>34</v>
      </c>
    </row>
    <row r="243" spans="3:7" x14ac:dyDescent="0.35">
      <c r="C243" s="69">
        <v>60200010</v>
      </c>
      <c r="D243" s="52" t="s">
        <v>55</v>
      </c>
      <c r="E243" s="52" t="s">
        <v>56</v>
      </c>
      <c r="F243" s="56" t="s">
        <v>270</v>
      </c>
      <c r="G243" s="71" t="s">
        <v>34</v>
      </c>
    </row>
    <row r="244" spans="3:7" x14ac:dyDescent="0.35">
      <c r="C244" s="69">
        <v>60300010</v>
      </c>
      <c r="D244" s="52" t="s">
        <v>57</v>
      </c>
      <c r="E244" s="52" t="s">
        <v>58</v>
      </c>
      <c r="F244" s="56" t="s">
        <v>291</v>
      </c>
      <c r="G244" s="71" t="s">
        <v>34</v>
      </c>
    </row>
    <row r="245" spans="3:7" x14ac:dyDescent="0.35">
      <c r="C245" s="69">
        <v>60600010</v>
      </c>
      <c r="D245" s="52" t="s">
        <v>231</v>
      </c>
      <c r="E245" s="52" t="s">
        <v>917</v>
      </c>
      <c r="F245" s="56" t="s">
        <v>272</v>
      </c>
      <c r="G245" s="70" t="s">
        <v>59</v>
      </c>
    </row>
    <row r="246" spans="3:7" x14ac:dyDescent="0.35">
      <c r="C246" s="69">
        <v>60600020</v>
      </c>
      <c r="D246" s="52" t="s">
        <v>232</v>
      </c>
      <c r="E246" s="52" t="s">
        <v>918</v>
      </c>
      <c r="F246" s="56" t="s">
        <v>272</v>
      </c>
      <c r="G246" s="70" t="s">
        <v>59</v>
      </c>
    </row>
    <row r="247" spans="3:7" ht="18" customHeight="1" x14ac:dyDescent="0.35">
      <c r="C247" s="69">
        <v>60600030</v>
      </c>
      <c r="D247" s="52" t="s">
        <v>233</v>
      </c>
      <c r="E247" s="52" t="s">
        <v>919</v>
      </c>
      <c r="F247" s="56" t="s">
        <v>272</v>
      </c>
      <c r="G247" s="70" t="s">
        <v>59</v>
      </c>
    </row>
    <row r="248" spans="3:7" ht="25" customHeight="1" x14ac:dyDescent="0.35">
      <c r="C248" s="69">
        <v>60600050</v>
      </c>
      <c r="D248" s="52" t="s">
        <v>61</v>
      </c>
      <c r="E248" s="52" t="s">
        <v>1283</v>
      </c>
      <c r="F248" s="56" t="s">
        <v>272</v>
      </c>
      <c r="G248" s="70" t="s">
        <v>59</v>
      </c>
    </row>
    <row r="249" spans="3:7" ht="18" customHeight="1" x14ac:dyDescent="0.35">
      <c r="C249" s="69">
        <v>60700010</v>
      </c>
      <c r="D249" s="52" t="s">
        <v>62</v>
      </c>
      <c r="E249" s="52" t="s">
        <v>1284</v>
      </c>
      <c r="F249" s="56" t="s">
        <v>62</v>
      </c>
      <c r="G249" s="70" t="s">
        <v>59</v>
      </c>
    </row>
    <row r="250" spans="3:7" x14ac:dyDescent="0.35">
      <c r="C250" s="69">
        <v>60800010</v>
      </c>
      <c r="D250" s="52" t="s">
        <v>63</v>
      </c>
      <c r="E250" s="52" t="s">
        <v>854</v>
      </c>
      <c r="F250" s="56" t="s">
        <v>292</v>
      </c>
      <c r="G250" s="70" t="s">
        <v>824</v>
      </c>
    </row>
    <row r="251" spans="3:7" x14ac:dyDescent="0.35">
      <c r="C251" s="69">
        <v>60800020</v>
      </c>
      <c r="D251" s="52" t="s">
        <v>64</v>
      </c>
      <c r="E251" s="52" t="s">
        <v>855</v>
      </c>
      <c r="F251" s="56" t="s">
        <v>292</v>
      </c>
      <c r="G251" s="70" t="s">
        <v>824</v>
      </c>
    </row>
    <row r="252" spans="3:7" x14ac:dyDescent="0.35">
      <c r="C252" s="69">
        <v>60800030</v>
      </c>
      <c r="D252" s="52" t="s">
        <v>65</v>
      </c>
      <c r="E252" s="52" t="s">
        <v>856</v>
      </c>
      <c r="F252" s="56" t="s">
        <v>292</v>
      </c>
      <c r="G252" s="70" t="s">
        <v>824</v>
      </c>
    </row>
    <row r="253" spans="3:7" x14ac:dyDescent="0.35">
      <c r="C253" s="69">
        <v>60800040</v>
      </c>
      <c r="D253" s="52" t="s">
        <v>66</v>
      </c>
      <c r="E253" s="52" t="s">
        <v>857</v>
      </c>
      <c r="F253" s="56" t="s">
        <v>292</v>
      </c>
      <c r="G253" s="70" t="s">
        <v>824</v>
      </c>
    </row>
    <row r="254" spans="3:7" x14ac:dyDescent="0.35">
      <c r="C254" s="69">
        <v>60800050</v>
      </c>
      <c r="D254" s="52" t="s">
        <v>67</v>
      </c>
      <c r="E254" s="52" t="s">
        <v>858</v>
      </c>
      <c r="F254" s="56" t="s">
        <v>292</v>
      </c>
      <c r="G254" s="70" t="s">
        <v>824</v>
      </c>
    </row>
    <row r="255" spans="3:7" x14ac:dyDescent="0.35">
      <c r="C255" s="69">
        <v>60800060</v>
      </c>
      <c r="D255" s="52" t="s">
        <v>68</v>
      </c>
      <c r="E255" s="52" t="s">
        <v>859</v>
      </c>
      <c r="F255" s="56" t="s">
        <v>292</v>
      </c>
      <c r="G255" s="70" t="s">
        <v>824</v>
      </c>
    </row>
    <row r="256" spans="3:7" x14ac:dyDescent="0.35">
      <c r="C256" s="69">
        <v>60800070</v>
      </c>
      <c r="D256" s="52" t="s">
        <v>69</v>
      </c>
      <c r="E256" s="52" t="s">
        <v>860</v>
      </c>
      <c r="F256" s="56" t="s">
        <v>292</v>
      </c>
      <c r="G256" s="70" t="s">
        <v>824</v>
      </c>
    </row>
    <row r="257" spans="3:7" x14ac:dyDescent="0.35">
      <c r="C257" s="69">
        <v>60800080</v>
      </c>
      <c r="D257" s="52" t="s">
        <v>70</v>
      </c>
      <c r="E257" s="52" t="s">
        <v>920</v>
      </c>
      <c r="F257" s="56" t="s">
        <v>292</v>
      </c>
      <c r="G257" s="70" t="s">
        <v>824</v>
      </c>
    </row>
    <row r="258" spans="3:7" x14ac:dyDescent="0.35">
      <c r="C258" s="69">
        <v>61100010</v>
      </c>
      <c r="D258" s="52" t="s">
        <v>235</v>
      </c>
      <c r="E258" s="52" t="s">
        <v>861</v>
      </c>
      <c r="F258" s="56" t="s">
        <v>274</v>
      </c>
      <c r="G258" s="70" t="s">
        <v>619</v>
      </c>
    </row>
    <row r="259" spans="3:7" x14ac:dyDescent="0.35">
      <c r="C259" s="69">
        <v>61200010</v>
      </c>
      <c r="D259" s="52" t="s">
        <v>236</v>
      </c>
      <c r="E259" s="52" t="s">
        <v>921</v>
      </c>
      <c r="F259" s="56" t="s">
        <v>275</v>
      </c>
      <c r="G259" s="70" t="s">
        <v>922</v>
      </c>
    </row>
    <row r="260" spans="3:7" x14ac:dyDescent="0.35">
      <c r="C260" s="69">
        <v>61200020</v>
      </c>
      <c r="D260" s="52" t="s">
        <v>237</v>
      </c>
      <c r="E260" s="52" t="s">
        <v>923</v>
      </c>
      <c r="F260" s="56" t="s">
        <v>275</v>
      </c>
      <c r="G260" s="70" t="s">
        <v>922</v>
      </c>
    </row>
    <row r="261" spans="3:7" x14ac:dyDescent="0.35">
      <c r="C261" s="69">
        <v>61200030</v>
      </c>
      <c r="D261" s="52" t="s">
        <v>238</v>
      </c>
      <c r="E261" s="52" t="s">
        <v>924</v>
      </c>
      <c r="F261" s="56" t="s">
        <v>275</v>
      </c>
      <c r="G261" s="70" t="s">
        <v>922</v>
      </c>
    </row>
    <row r="262" spans="3:7" x14ac:dyDescent="0.35">
      <c r="C262" s="69">
        <v>61200040</v>
      </c>
      <c r="D262" s="52" t="s">
        <v>239</v>
      </c>
      <c r="E262" s="52" t="s">
        <v>925</v>
      </c>
      <c r="F262" s="56" t="s">
        <v>275</v>
      </c>
      <c r="G262" s="70" t="s">
        <v>922</v>
      </c>
    </row>
    <row r="263" spans="3:7" x14ac:dyDescent="0.35">
      <c r="C263" s="69">
        <v>61200050</v>
      </c>
      <c r="D263" s="52" t="s">
        <v>240</v>
      </c>
      <c r="E263" s="52" t="s">
        <v>926</v>
      </c>
      <c r="F263" s="56" t="s">
        <v>275</v>
      </c>
      <c r="G263" s="70" t="s">
        <v>922</v>
      </c>
    </row>
    <row r="264" spans="3:7" x14ac:dyDescent="0.35">
      <c r="C264" s="69">
        <v>61200060</v>
      </c>
      <c r="D264" s="52" t="s">
        <v>241</v>
      </c>
      <c r="E264" s="52" t="s">
        <v>927</v>
      </c>
      <c r="F264" s="56" t="s">
        <v>275</v>
      </c>
      <c r="G264" s="70" t="s">
        <v>922</v>
      </c>
    </row>
    <row r="265" spans="3:7" x14ac:dyDescent="0.35">
      <c r="C265" s="69">
        <v>61200070</v>
      </c>
      <c r="D265" s="52" t="s">
        <v>242</v>
      </c>
      <c r="E265" s="52" t="s">
        <v>928</v>
      </c>
      <c r="F265" s="56" t="s">
        <v>275</v>
      </c>
      <c r="G265" s="70" t="s">
        <v>922</v>
      </c>
    </row>
    <row r="266" spans="3:7" x14ac:dyDescent="0.35">
      <c r="C266" s="69">
        <v>61200080</v>
      </c>
      <c r="D266" s="52" t="s">
        <v>243</v>
      </c>
      <c r="E266" s="52" t="s">
        <v>929</v>
      </c>
      <c r="F266" s="56" t="s">
        <v>275</v>
      </c>
      <c r="G266" s="70" t="s">
        <v>922</v>
      </c>
    </row>
    <row r="267" spans="3:7" x14ac:dyDescent="0.35">
      <c r="C267" s="69">
        <v>61200090</v>
      </c>
      <c r="D267" s="52" t="s">
        <v>244</v>
      </c>
      <c r="E267" s="52" t="s">
        <v>930</v>
      </c>
      <c r="F267" s="56" t="s">
        <v>275</v>
      </c>
      <c r="G267" s="70" t="s">
        <v>922</v>
      </c>
    </row>
    <row r="268" spans="3:7" x14ac:dyDescent="0.35">
      <c r="C268" s="69">
        <v>61300010</v>
      </c>
      <c r="D268" s="52" t="s">
        <v>245</v>
      </c>
      <c r="E268" s="52" t="s">
        <v>931</v>
      </c>
      <c r="F268" s="56" t="s">
        <v>276</v>
      </c>
      <c r="G268" s="70" t="s">
        <v>922</v>
      </c>
    </row>
    <row r="269" spans="3:7" x14ac:dyDescent="0.35">
      <c r="C269" s="69">
        <v>61300020</v>
      </c>
      <c r="D269" s="52" t="s">
        <v>246</v>
      </c>
      <c r="E269" s="52" t="s">
        <v>932</v>
      </c>
      <c r="F269" s="56" t="s">
        <v>276</v>
      </c>
      <c r="G269" s="70" t="s">
        <v>922</v>
      </c>
    </row>
    <row r="270" spans="3:7" x14ac:dyDescent="0.35">
      <c r="C270" s="69">
        <v>61300030</v>
      </c>
      <c r="D270" s="52" t="s">
        <v>247</v>
      </c>
      <c r="E270" s="52" t="s">
        <v>933</v>
      </c>
      <c r="F270" s="56" t="s">
        <v>276</v>
      </c>
      <c r="G270" s="70" t="s">
        <v>922</v>
      </c>
    </row>
    <row r="271" spans="3:7" x14ac:dyDescent="0.35">
      <c r="C271" s="69">
        <v>61300040</v>
      </c>
      <c r="D271" s="52" t="s">
        <v>248</v>
      </c>
      <c r="E271" s="52" t="s">
        <v>934</v>
      </c>
      <c r="F271" s="56" t="s">
        <v>276</v>
      </c>
      <c r="G271" s="70" t="s">
        <v>922</v>
      </c>
    </row>
    <row r="272" spans="3:7" x14ac:dyDescent="0.35">
      <c r="C272" s="69">
        <v>61300050</v>
      </c>
      <c r="D272" s="52" t="s">
        <v>249</v>
      </c>
      <c r="E272" s="52" t="s">
        <v>935</v>
      </c>
      <c r="F272" s="56" t="s">
        <v>276</v>
      </c>
      <c r="G272" s="70" t="s">
        <v>922</v>
      </c>
    </row>
    <row r="273" spans="3:7" x14ac:dyDescent="0.35">
      <c r="C273" s="69">
        <v>61300060</v>
      </c>
      <c r="D273" s="52" t="s">
        <v>250</v>
      </c>
      <c r="E273" s="52" t="s">
        <v>936</v>
      </c>
      <c r="F273" s="56" t="s">
        <v>276</v>
      </c>
      <c r="G273" s="70" t="s">
        <v>922</v>
      </c>
    </row>
    <row r="274" spans="3:7" x14ac:dyDescent="0.35">
      <c r="C274" s="69">
        <v>61300070</v>
      </c>
      <c r="D274" s="52" t="s">
        <v>251</v>
      </c>
      <c r="E274" s="52" t="s">
        <v>937</v>
      </c>
      <c r="F274" s="56" t="s">
        <v>276</v>
      </c>
      <c r="G274" s="70" t="s">
        <v>922</v>
      </c>
    </row>
    <row r="275" spans="3:7" x14ac:dyDescent="0.35">
      <c r="C275" s="69">
        <v>61300080</v>
      </c>
      <c r="D275" s="52" t="s">
        <v>252</v>
      </c>
      <c r="E275" s="52" t="s">
        <v>938</v>
      </c>
      <c r="F275" s="56" t="s">
        <v>276</v>
      </c>
      <c r="G275" s="70" t="s">
        <v>922</v>
      </c>
    </row>
    <row r="276" spans="3:7" x14ac:dyDescent="0.35">
      <c r="C276" s="69">
        <v>61300090</v>
      </c>
      <c r="D276" s="52" t="s">
        <v>253</v>
      </c>
      <c r="E276" s="52" t="s">
        <v>939</v>
      </c>
      <c r="F276" s="56" t="s">
        <v>276</v>
      </c>
      <c r="G276" s="70" t="s">
        <v>922</v>
      </c>
    </row>
    <row r="277" spans="3:7" x14ac:dyDescent="0.35">
      <c r="C277" s="69">
        <v>61400010</v>
      </c>
      <c r="D277" s="52" t="s">
        <v>71</v>
      </c>
      <c r="E277" s="52" t="s">
        <v>940</v>
      </c>
      <c r="F277" s="56" t="s">
        <v>277</v>
      </c>
      <c r="G277" s="70" t="s">
        <v>941</v>
      </c>
    </row>
    <row r="278" spans="3:7" x14ac:dyDescent="0.35">
      <c r="C278" s="69">
        <v>61400020</v>
      </c>
      <c r="D278" s="52" t="s">
        <v>254</v>
      </c>
      <c r="E278" s="52" t="s">
        <v>942</v>
      </c>
      <c r="F278" s="56" t="s">
        <v>277</v>
      </c>
      <c r="G278" s="70" t="s">
        <v>941</v>
      </c>
    </row>
    <row r="279" spans="3:7" x14ac:dyDescent="0.35">
      <c r="C279" s="69">
        <v>61400030</v>
      </c>
      <c r="D279" s="52" t="s">
        <v>255</v>
      </c>
      <c r="E279" s="52" t="s">
        <v>943</v>
      </c>
      <c r="F279" s="56" t="s">
        <v>277</v>
      </c>
      <c r="G279" s="70" t="s">
        <v>941</v>
      </c>
    </row>
    <row r="280" spans="3:7" x14ac:dyDescent="0.35">
      <c r="C280" s="69">
        <v>61500010</v>
      </c>
      <c r="D280" s="52" t="s">
        <v>72</v>
      </c>
      <c r="E280" s="52" t="s">
        <v>868</v>
      </c>
      <c r="F280" s="56" t="s">
        <v>278</v>
      </c>
      <c r="G280" s="70" t="s">
        <v>824</v>
      </c>
    </row>
    <row r="281" spans="3:7" x14ac:dyDescent="0.35">
      <c r="C281" s="69">
        <v>61500020</v>
      </c>
      <c r="D281" s="52" t="s">
        <v>73</v>
      </c>
      <c r="E281" s="52" t="s">
        <v>868</v>
      </c>
      <c r="F281" s="56" t="s">
        <v>278</v>
      </c>
      <c r="G281" s="70" t="s">
        <v>34</v>
      </c>
    </row>
    <row r="282" spans="3:7" ht="29" x14ac:dyDescent="0.35">
      <c r="C282" s="69">
        <v>61600010</v>
      </c>
      <c r="D282" s="52" t="s">
        <v>944</v>
      </c>
      <c r="E282" s="52" t="s">
        <v>945</v>
      </c>
      <c r="F282" s="56" t="s">
        <v>279</v>
      </c>
      <c r="G282" s="70" t="s">
        <v>59</v>
      </c>
    </row>
    <row r="283" spans="3:7" x14ac:dyDescent="0.35">
      <c r="C283" s="69">
        <v>61600030</v>
      </c>
      <c r="D283" s="52" t="s">
        <v>76</v>
      </c>
      <c r="E283" s="52" t="s">
        <v>946</v>
      </c>
      <c r="F283" s="56" t="s">
        <v>279</v>
      </c>
      <c r="G283" s="70" t="s">
        <v>59</v>
      </c>
    </row>
    <row r="284" spans="3:7" x14ac:dyDescent="0.35">
      <c r="C284" s="69">
        <v>61600040</v>
      </c>
      <c r="D284" s="52" t="s">
        <v>77</v>
      </c>
      <c r="E284" s="52" t="s">
        <v>947</v>
      </c>
      <c r="F284" s="56" t="s">
        <v>279</v>
      </c>
      <c r="G284" s="70" t="s">
        <v>90</v>
      </c>
    </row>
    <row r="285" spans="3:7" x14ac:dyDescent="0.35">
      <c r="C285" s="69">
        <v>61600050</v>
      </c>
      <c r="D285" s="52" t="s">
        <v>948</v>
      </c>
      <c r="E285" s="52" t="s">
        <v>949</v>
      </c>
      <c r="F285" s="56" t="s">
        <v>279</v>
      </c>
      <c r="G285" s="70" t="s">
        <v>90</v>
      </c>
    </row>
    <row r="286" spans="3:7" x14ac:dyDescent="0.35">
      <c r="C286" s="69">
        <v>61600060</v>
      </c>
      <c r="D286" s="52" t="s">
        <v>950</v>
      </c>
      <c r="E286" s="52" t="s">
        <v>951</v>
      </c>
      <c r="F286" s="56" t="s">
        <v>279</v>
      </c>
      <c r="G286" s="70" t="s">
        <v>34</v>
      </c>
    </row>
    <row r="287" spans="3:7" x14ac:dyDescent="0.35">
      <c r="C287" s="69">
        <v>61600070</v>
      </c>
      <c r="D287" s="52" t="s">
        <v>78</v>
      </c>
      <c r="E287" s="52" t="s">
        <v>1285</v>
      </c>
      <c r="F287" s="56" t="s">
        <v>279</v>
      </c>
      <c r="G287" s="70" t="s">
        <v>824</v>
      </c>
    </row>
    <row r="288" spans="3:7" x14ac:dyDescent="0.35">
      <c r="C288" s="69">
        <v>61700010</v>
      </c>
      <c r="D288" s="52" t="s">
        <v>79</v>
      </c>
      <c r="E288" s="52" t="s">
        <v>875</v>
      </c>
      <c r="F288" s="56" t="s">
        <v>280</v>
      </c>
      <c r="G288" s="70" t="s">
        <v>952</v>
      </c>
    </row>
    <row r="289" spans="3:7" x14ac:dyDescent="0.35">
      <c r="C289" s="69">
        <v>61700030</v>
      </c>
      <c r="D289" s="52" t="s">
        <v>80</v>
      </c>
      <c r="E289" s="52" t="s">
        <v>876</v>
      </c>
      <c r="F289" s="56" t="s">
        <v>280</v>
      </c>
      <c r="G289" s="70" t="s">
        <v>59</v>
      </c>
    </row>
    <row r="290" spans="3:7" x14ac:dyDescent="0.35">
      <c r="C290" s="69">
        <v>61700040</v>
      </c>
      <c r="D290" s="52" t="s">
        <v>81</v>
      </c>
      <c r="E290" s="52" t="s">
        <v>877</v>
      </c>
      <c r="F290" s="56" t="s">
        <v>280</v>
      </c>
      <c r="G290" s="70" t="s">
        <v>59</v>
      </c>
    </row>
    <row r="291" spans="3:7" x14ac:dyDescent="0.35">
      <c r="C291" s="69">
        <v>61700050</v>
      </c>
      <c r="D291" s="52" t="s">
        <v>82</v>
      </c>
      <c r="E291" s="52" t="s">
        <v>878</v>
      </c>
      <c r="F291" s="56" t="s">
        <v>280</v>
      </c>
      <c r="G291" s="70" t="s">
        <v>59</v>
      </c>
    </row>
    <row r="292" spans="3:7" x14ac:dyDescent="0.35">
      <c r="C292" s="69">
        <v>61700060</v>
      </c>
      <c r="D292" s="52" t="s">
        <v>953</v>
      </c>
      <c r="E292" s="52" t="s">
        <v>879</v>
      </c>
      <c r="F292" s="56" t="s">
        <v>280</v>
      </c>
      <c r="G292" s="70" t="s">
        <v>59</v>
      </c>
    </row>
    <row r="293" spans="3:7" x14ac:dyDescent="0.35">
      <c r="C293" s="69">
        <v>61700070</v>
      </c>
      <c r="D293" s="52" t="s">
        <v>84</v>
      </c>
      <c r="E293" s="52" t="s">
        <v>880</v>
      </c>
      <c r="F293" s="56" t="s">
        <v>280</v>
      </c>
      <c r="G293" s="70" t="s">
        <v>824</v>
      </c>
    </row>
    <row r="294" spans="3:7" x14ac:dyDescent="0.35">
      <c r="C294" s="69">
        <v>61800010</v>
      </c>
      <c r="D294" s="52" t="s">
        <v>85</v>
      </c>
      <c r="E294" s="52" t="s">
        <v>881</v>
      </c>
      <c r="F294" s="56" t="s">
        <v>293</v>
      </c>
      <c r="G294" s="70" t="s">
        <v>824</v>
      </c>
    </row>
    <row r="295" spans="3:7" x14ac:dyDescent="0.35">
      <c r="C295" s="69">
        <v>61800020</v>
      </c>
      <c r="D295" s="69" t="s">
        <v>86</v>
      </c>
      <c r="E295" s="69" t="s">
        <v>882</v>
      </c>
      <c r="F295" s="69" t="s">
        <v>293</v>
      </c>
      <c r="G295" s="70" t="s">
        <v>824</v>
      </c>
    </row>
    <row r="296" spans="3:7" x14ac:dyDescent="0.35">
      <c r="C296" s="69">
        <v>61800030</v>
      </c>
      <c r="D296" s="69" t="s">
        <v>87</v>
      </c>
      <c r="E296" s="69" t="s">
        <v>883</v>
      </c>
      <c r="F296" s="69" t="s">
        <v>293</v>
      </c>
      <c r="G296" s="70" t="s">
        <v>824</v>
      </c>
    </row>
    <row r="297" spans="3:7" x14ac:dyDescent="0.35">
      <c r="C297" s="69">
        <v>61800090</v>
      </c>
      <c r="D297" s="69" t="s">
        <v>88</v>
      </c>
      <c r="E297" s="69" t="s">
        <v>954</v>
      </c>
      <c r="F297" s="69" t="s">
        <v>293</v>
      </c>
      <c r="G297" s="70" t="s">
        <v>824</v>
      </c>
    </row>
    <row r="298" spans="3:7" x14ac:dyDescent="0.35">
      <c r="C298" s="69">
        <v>61900010</v>
      </c>
      <c r="D298" s="69" t="s">
        <v>89</v>
      </c>
      <c r="E298" s="69" t="s">
        <v>885</v>
      </c>
      <c r="F298" s="69" t="s">
        <v>230</v>
      </c>
      <c r="G298" s="70" t="s">
        <v>824</v>
      </c>
    </row>
    <row r="299" spans="3:7" x14ac:dyDescent="0.35">
      <c r="C299" s="69">
        <v>61900020</v>
      </c>
      <c r="D299" s="69" t="s">
        <v>91</v>
      </c>
      <c r="E299" s="69" t="s">
        <v>955</v>
      </c>
      <c r="F299" s="69" t="s">
        <v>230</v>
      </c>
      <c r="G299" s="70" t="s">
        <v>824</v>
      </c>
    </row>
    <row r="300" spans="3:7" x14ac:dyDescent="0.35">
      <c r="C300" s="69">
        <v>61900030</v>
      </c>
      <c r="D300" s="69" t="s">
        <v>92</v>
      </c>
      <c r="E300" s="69" t="s">
        <v>887</v>
      </c>
      <c r="F300" s="69" t="s">
        <v>230</v>
      </c>
      <c r="G300" s="70" t="s">
        <v>824</v>
      </c>
    </row>
    <row r="301" spans="3:7" x14ac:dyDescent="0.35">
      <c r="C301" s="69">
        <v>61900040</v>
      </c>
      <c r="D301" s="69" t="s">
        <v>93</v>
      </c>
      <c r="E301" s="69" t="s">
        <v>956</v>
      </c>
      <c r="F301" s="69" t="s">
        <v>230</v>
      </c>
      <c r="G301" s="70" t="s">
        <v>824</v>
      </c>
    </row>
    <row r="302" spans="3:7" x14ac:dyDescent="0.35">
      <c r="C302" s="69">
        <v>61900090</v>
      </c>
      <c r="D302" s="69" t="s">
        <v>94</v>
      </c>
      <c r="E302" s="69" t="s">
        <v>957</v>
      </c>
      <c r="F302" s="69" t="s">
        <v>230</v>
      </c>
      <c r="G302" s="70" t="s">
        <v>824</v>
      </c>
    </row>
    <row r="303" spans="3:7" x14ac:dyDescent="0.35">
      <c r="C303" s="69">
        <v>62000010</v>
      </c>
      <c r="D303" s="69" t="s">
        <v>95</v>
      </c>
      <c r="E303" s="69" t="s">
        <v>958</v>
      </c>
      <c r="F303" s="69" t="s">
        <v>282</v>
      </c>
      <c r="G303" s="69" t="s">
        <v>128</v>
      </c>
    </row>
    <row r="304" spans="3:7" x14ac:dyDescent="0.35">
      <c r="C304" s="69">
        <v>62000020</v>
      </c>
      <c r="D304" s="69" t="s">
        <v>96</v>
      </c>
      <c r="E304" s="69" t="s">
        <v>959</v>
      </c>
      <c r="F304" s="69" t="s">
        <v>282</v>
      </c>
      <c r="G304" s="69" t="s">
        <v>214</v>
      </c>
    </row>
    <row r="305" spans="3:7" x14ac:dyDescent="0.35">
      <c r="C305" s="69">
        <v>62000040</v>
      </c>
      <c r="D305" s="69" t="s">
        <v>97</v>
      </c>
      <c r="E305" s="69" t="s">
        <v>960</v>
      </c>
      <c r="F305" s="69" t="s">
        <v>282</v>
      </c>
      <c r="G305" s="70" t="s">
        <v>824</v>
      </c>
    </row>
    <row r="306" spans="3:7" x14ac:dyDescent="0.35">
      <c r="C306" s="69">
        <v>62100010</v>
      </c>
      <c r="D306" s="69" t="s">
        <v>98</v>
      </c>
      <c r="E306" s="69" t="s">
        <v>99</v>
      </c>
      <c r="F306" s="69" t="s">
        <v>283</v>
      </c>
      <c r="G306" s="69" t="s">
        <v>90</v>
      </c>
    </row>
    <row r="307" spans="3:7" x14ac:dyDescent="0.35">
      <c r="C307" s="69">
        <v>62100020</v>
      </c>
      <c r="D307" s="69" t="s">
        <v>100</v>
      </c>
      <c r="E307" s="69" t="s">
        <v>890</v>
      </c>
      <c r="F307" s="69" t="s">
        <v>283</v>
      </c>
      <c r="G307" s="69" t="s">
        <v>90</v>
      </c>
    </row>
    <row r="308" spans="3:7" x14ac:dyDescent="0.35">
      <c r="C308" s="69">
        <v>62100030</v>
      </c>
      <c r="D308" s="69" t="s">
        <v>101</v>
      </c>
      <c r="E308" s="69" t="s">
        <v>102</v>
      </c>
      <c r="F308" s="69" t="s">
        <v>283</v>
      </c>
      <c r="G308" s="69" t="s">
        <v>90</v>
      </c>
    </row>
    <row r="309" spans="3:7" x14ac:dyDescent="0.35">
      <c r="C309" s="69">
        <v>62100040</v>
      </c>
      <c r="D309" s="69" t="s">
        <v>103</v>
      </c>
      <c r="E309" s="69" t="s">
        <v>104</v>
      </c>
      <c r="F309" s="69" t="s">
        <v>283</v>
      </c>
      <c r="G309" s="69" t="s">
        <v>90</v>
      </c>
    </row>
    <row r="310" spans="3:7" x14ac:dyDescent="0.35">
      <c r="C310" s="69">
        <v>62100050</v>
      </c>
      <c r="D310" s="69" t="s">
        <v>257</v>
      </c>
      <c r="E310" s="69" t="s">
        <v>891</v>
      </c>
      <c r="F310" s="69" t="s">
        <v>283</v>
      </c>
      <c r="G310" s="69" t="s">
        <v>90</v>
      </c>
    </row>
    <row r="311" spans="3:7" ht="29" x14ac:dyDescent="0.35">
      <c r="C311" s="69">
        <v>62200010</v>
      </c>
      <c r="D311" s="69" t="s">
        <v>106</v>
      </c>
      <c r="E311" s="69" t="s">
        <v>107</v>
      </c>
      <c r="F311" s="69" t="s">
        <v>284</v>
      </c>
      <c r="G311" s="70" t="s">
        <v>824</v>
      </c>
    </row>
    <row r="312" spans="3:7" ht="29" x14ac:dyDescent="0.35">
      <c r="C312" s="69">
        <v>62200020</v>
      </c>
      <c r="D312" s="69" t="s">
        <v>108</v>
      </c>
      <c r="E312" s="69" t="s">
        <v>109</v>
      </c>
      <c r="F312" s="69" t="s">
        <v>284</v>
      </c>
      <c r="G312" s="70" t="s">
        <v>824</v>
      </c>
    </row>
    <row r="313" spans="3:7" x14ac:dyDescent="0.35">
      <c r="C313" s="69">
        <v>62300010</v>
      </c>
      <c r="D313" s="69" t="s">
        <v>110</v>
      </c>
      <c r="E313" s="69" t="s">
        <v>111</v>
      </c>
      <c r="F313" s="69" t="s">
        <v>285</v>
      </c>
      <c r="G313" s="70" t="s">
        <v>824</v>
      </c>
    </row>
    <row r="314" spans="3:7" ht="29" x14ac:dyDescent="0.35">
      <c r="C314" s="69">
        <v>62300020</v>
      </c>
      <c r="D314" s="69" t="s">
        <v>112</v>
      </c>
      <c r="E314" s="69" t="s">
        <v>113</v>
      </c>
      <c r="F314" s="69" t="s">
        <v>285</v>
      </c>
      <c r="G314" s="70" t="s">
        <v>824</v>
      </c>
    </row>
    <row r="315" spans="3:7" x14ac:dyDescent="0.35">
      <c r="C315" s="69">
        <v>62400030</v>
      </c>
      <c r="D315" s="69" t="s">
        <v>114</v>
      </c>
      <c r="E315" s="69" t="s">
        <v>115</v>
      </c>
      <c r="F315" s="69" t="s">
        <v>286</v>
      </c>
      <c r="G315" s="70" t="s">
        <v>824</v>
      </c>
    </row>
    <row r="316" spans="3:7" ht="29" x14ac:dyDescent="0.35">
      <c r="C316" s="69">
        <v>62400040</v>
      </c>
      <c r="D316" s="69" t="s">
        <v>116</v>
      </c>
      <c r="E316" s="69" t="s">
        <v>961</v>
      </c>
      <c r="F316" s="69" t="s">
        <v>286</v>
      </c>
      <c r="G316" s="70" t="s">
        <v>824</v>
      </c>
    </row>
    <row r="317" spans="3:7" x14ac:dyDescent="0.35">
      <c r="C317" s="69">
        <v>62400060</v>
      </c>
      <c r="D317" s="69" t="s">
        <v>258</v>
      </c>
      <c r="E317" s="69" t="s">
        <v>327</v>
      </c>
      <c r="F317" s="69" t="s">
        <v>286</v>
      </c>
      <c r="G317" s="69" t="s">
        <v>128</v>
      </c>
    </row>
    <row r="318" spans="3:7" x14ac:dyDescent="0.35">
      <c r="C318" s="69">
        <v>62500010</v>
      </c>
      <c r="D318" s="69" t="s">
        <v>117</v>
      </c>
      <c r="E318" s="69" t="s">
        <v>118</v>
      </c>
      <c r="F318" s="69" t="s">
        <v>117</v>
      </c>
      <c r="G318" s="69" t="s">
        <v>16</v>
      </c>
    </row>
    <row r="319" spans="3:7" ht="29" x14ac:dyDescent="0.35">
      <c r="C319" s="69">
        <v>62600010</v>
      </c>
      <c r="D319" s="69" t="s">
        <v>119</v>
      </c>
      <c r="E319" s="69" t="s">
        <v>962</v>
      </c>
      <c r="F319" s="69" t="s">
        <v>287</v>
      </c>
      <c r="G319" s="70" t="s">
        <v>824</v>
      </c>
    </row>
    <row r="320" spans="3:7" x14ac:dyDescent="0.35">
      <c r="C320" s="69">
        <v>62600020</v>
      </c>
      <c r="D320" s="69" t="s">
        <v>120</v>
      </c>
      <c r="E320" s="69" t="s">
        <v>963</v>
      </c>
      <c r="F320" s="69" t="s">
        <v>287</v>
      </c>
      <c r="G320" s="70" t="s">
        <v>824</v>
      </c>
    </row>
    <row r="321" spans="1:7" x14ac:dyDescent="0.35">
      <c r="C321" s="69">
        <v>62600030</v>
      </c>
      <c r="D321" s="69" t="s">
        <v>121</v>
      </c>
      <c r="E321" s="69" t="s">
        <v>964</v>
      </c>
      <c r="F321" s="69" t="s">
        <v>287</v>
      </c>
      <c r="G321" s="70" t="s">
        <v>824</v>
      </c>
    </row>
    <row r="322" spans="1:7" x14ac:dyDescent="0.35">
      <c r="C322" s="69">
        <v>62700010</v>
      </c>
      <c r="D322" s="69" t="s">
        <v>259</v>
      </c>
      <c r="E322" s="69" t="s">
        <v>965</v>
      </c>
      <c r="F322" s="69" t="s">
        <v>259</v>
      </c>
      <c r="G322" s="69" t="s">
        <v>128</v>
      </c>
    </row>
    <row r="323" spans="1:7" x14ac:dyDescent="0.35">
      <c r="C323" s="69">
        <v>62800010</v>
      </c>
      <c r="D323" s="69" t="s">
        <v>260</v>
      </c>
      <c r="E323" s="69" t="s">
        <v>966</v>
      </c>
      <c r="F323" s="69" t="s">
        <v>260</v>
      </c>
      <c r="G323" s="69" t="s">
        <v>130</v>
      </c>
    </row>
    <row r="324" spans="1:7" x14ac:dyDescent="0.35">
      <c r="C324" s="69">
        <v>62900010</v>
      </c>
      <c r="D324" s="69" t="s">
        <v>122</v>
      </c>
      <c r="E324" s="69" t="s">
        <v>123</v>
      </c>
      <c r="F324" s="69" t="s">
        <v>288</v>
      </c>
      <c r="G324" s="70" t="s">
        <v>824</v>
      </c>
    </row>
    <row r="325" spans="1:7" x14ac:dyDescent="0.35">
      <c r="C325" s="69">
        <v>62900020</v>
      </c>
      <c r="D325" s="69" t="s">
        <v>124</v>
      </c>
      <c r="E325" s="69" t="s">
        <v>125</v>
      </c>
      <c r="F325" s="69" t="s">
        <v>288</v>
      </c>
      <c r="G325" s="70" t="s">
        <v>824</v>
      </c>
    </row>
    <row r="326" spans="1:7" x14ac:dyDescent="0.35">
      <c r="C326" s="69">
        <v>63300010</v>
      </c>
      <c r="D326" s="69" t="s">
        <v>967</v>
      </c>
      <c r="E326" s="69" t="s">
        <v>968</v>
      </c>
      <c r="F326" s="69" t="s">
        <v>230</v>
      </c>
      <c r="G326" s="69"/>
    </row>
    <row r="327" spans="1:7" x14ac:dyDescent="0.35">
      <c r="C327" s="292">
        <v>63900010</v>
      </c>
      <c r="D327" s="61" t="s">
        <v>126</v>
      </c>
      <c r="E327" s="62" t="s">
        <v>1272</v>
      </c>
      <c r="F327" s="62" t="s">
        <v>296</v>
      </c>
      <c r="G327" s="62" t="s">
        <v>824</v>
      </c>
    </row>
    <row r="330" spans="1:7" s="281" customFormat="1" ht="16" x14ac:dyDescent="0.4">
      <c r="A330" s="314"/>
      <c r="B330" s="314"/>
      <c r="C330" s="282" t="s">
        <v>423</v>
      </c>
      <c r="D330" s="273" t="s">
        <v>323</v>
      </c>
    </row>
    <row r="331" spans="1:7" outlineLevel="1" x14ac:dyDescent="0.35"/>
    <row r="332" spans="1:7" outlineLevel="1" x14ac:dyDescent="0.35">
      <c r="C332" s="4" t="s">
        <v>806</v>
      </c>
    </row>
    <row r="333" spans="1:7" outlineLevel="1" x14ac:dyDescent="0.35"/>
    <row r="334" spans="1:7" outlineLevel="1" x14ac:dyDescent="0.35">
      <c r="B334" s="38" t="s">
        <v>807</v>
      </c>
      <c r="C334" s="38" t="s">
        <v>324</v>
      </c>
    </row>
    <row r="335" spans="1:7" outlineLevel="1" x14ac:dyDescent="0.35">
      <c r="C335" s="4" t="s">
        <v>540</v>
      </c>
    </row>
    <row r="336" spans="1:7" outlineLevel="1" x14ac:dyDescent="0.35"/>
    <row r="337" spans="2:5" outlineLevel="1" x14ac:dyDescent="0.35">
      <c r="B337" s="38" t="s">
        <v>808</v>
      </c>
      <c r="C337" s="38" t="s">
        <v>531</v>
      </c>
    </row>
    <row r="338" spans="2:5" outlineLevel="1" x14ac:dyDescent="0.35">
      <c r="C338" s="4" t="s">
        <v>325</v>
      </c>
    </row>
    <row r="339" spans="2:5" outlineLevel="1" x14ac:dyDescent="0.35">
      <c r="C339" s="4" t="s">
        <v>756</v>
      </c>
    </row>
    <row r="340" spans="2:5" outlineLevel="1" x14ac:dyDescent="0.35"/>
    <row r="341" spans="2:5" s="38" customFormat="1" outlineLevel="1" x14ac:dyDescent="0.35">
      <c r="B341" s="38" t="s">
        <v>809</v>
      </c>
      <c r="C341" s="38" t="s">
        <v>810</v>
      </c>
    </row>
    <row r="342" spans="2:5" outlineLevel="1" x14ac:dyDescent="0.35">
      <c r="C342" s="4" t="s">
        <v>811</v>
      </c>
    </row>
    <row r="343" spans="2:5" outlineLevel="1" x14ac:dyDescent="0.35">
      <c r="C343" s="4" t="s">
        <v>756</v>
      </c>
    </row>
    <row r="344" spans="2:5" outlineLevel="1" x14ac:dyDescent="0.35"/>
    <row r="345" spans="2:5" ht="87" outlineLevel="1" x14ac:dyDescent="0.35">
      <c r="C345" s="67" t="s">
        <v>326</v>
      </c>
      <c r="D345" s="68" t="s">
        <v>812</v>
      </c>
    </row>
    <row r="346" spans="2:5" outlineLevel="1" x14ac:dyDescent="0.35">
      <c r="C346" s="67" t="s">
        <v>265</v>
      </c>
      <c r="D346" s="68" t="s">
        <v>813</v>
      </c>
    </row>
    <row r="347" spans="2:5" ht="29" outlineLevel="1" x14ac:dyDescent="0.35">
      <c r="C347" s="67" t="s">
        <v>32</v>
      </c>
      <c r="D347" s="68" t="s">
        <v>1263</v>
      </c>
      <c r="E347" s="315" t="s">
        <v>1259</v>
      </c>
    </row>
    <row r="348" spans="2:5" ht="45.75" customHeight="1" outlineLevel="1" x14ac:dyDescent="0.35">
      <c r="C348" s="67" t="s">
        <v>264</v>
      </c>
      <c r="D348" s="68" t="s">
        <v>814</v>
      </c>
    </row>
    <row r="349" spans="2:5" ht="43.5" outlineLevel="1" x14ac:dyDescent="0.35">
      <c r="C349" s="67" t="s">
        <v>227</v>
      </c>
      <c r="D349" s="68" t="s">
        <v>815</v>
      </c>
    </row>
  </sheetData>
  <sheetProtection formatRows="0"/>
  <hyperlinks>
    <hyperlink ref="D28" location="Cover!A1" display="Cover" xr:uid="{A79CA72D-0FEF-468E-BA1A-8D64FACD5B72}"/>
    <hyperlink ref="D125" location="'Budget Opex Detail'!A1" display="Budget Opex Detail" xr:uid="{F404BB27-A1B5-4BA9-BF9F-D53C9A323E84}"/>
    <hyperlink ref="D330" location="'Activity Master Opex'!A1" display="Activity Master" xr:uid="{1D9E712F-C375-4BE6-BE18-8861C847BC91}"/>
    <hyperlink ref="C80" location="'Asset determination'!A1" display="'Asset determination" xr:uid="{2B6DA21A-3B30-4BBF-BFE9-36367A22AE33}"/>
    <hyperlink ref="E347" location="'Master Data'!A1" display="Master Data" xr:uid="{59CFCA3A-33F3-43D4-9240-91FC1404E32D}"/>
    <hyperlink ref="D77" location="'Budget Capex Detail'!A1" display="Budget Capex Detail" xr:uid="{3EA4B7F2-1A4E-4DB0-95AF-CAEE667BA37B}"/>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DDD78-A027-40A5-8B29-F622BD0E29C5}">
  <sheetPr codeName="Sheet12">
    <tabColor rgb="FF339966"/>
  </sheetPr>
  <dimension ref="A2:P349"/>
  <sheetViews>
    <sheetView showGridLines="0" zoomScale="80" zoomScaleNormal="80" workbookViewId="0">
      <selection activeCell="D28" sqref="D28"/>
    </sheetView>
  </sheetViews>
  <sheetFormatPr defaultColWidth="10.26953125" defaultRowHeight="14.5" outlineLevelRow="4" x14ac:dyDescent="0.35"/>
  <cols>
    <col min="1" max="1" width="0.81640625" style="4" customWidth="1"/>
    <col min="2" max="2" width="3.453125" style="4" bestFit="1" customWidth="1"/>
    <col min="3" max="3" width="45" style="4" bestFit="1" customWidth="1"/>
    <col min="4" max="4" width="70.7265625" style="4" bestFit="1" customWidth="1"/>
    <col min="5" max="5" width="68.7265625" style="4" customWidth="1"/>
    <col min="6" max="6" width="33" style="4" customWidth="1"/>
    <col min="7" max="7" width="31.7265625" style="4" customWidth="1"/>
    <col min="8" max="10" width="10.26953125" style="4"/>
    <col min="11" max="11" width="10.26953125" style="4" customWidth="1"/>
    <col min="12" max="16384" width="10.26953125" style="4"/>
  </cols>
  <sheetData>
    <row r="2" spans="2:16" ht="23.5" x14ac:dyDescent="0.55000000000000004">
      <c r="B2" s="3" t="s">
        <v>542</v>
      </c>
    </row>
    <row r="3" spans="2:16" ht="21" x14ac:dyDescent="0.5">
      <c r="B3" s="5"/>
    </row>
    <row r="4" spans="2:16" ht="19" thickBot="1" x14ac:dyDescent="0.5">
      <c r="B4" s="286" t="s">
        <v>489</v>
      </c>
      <c r="C4" s="6"/>
      <c r="D4" s="7"/>
      <c r="E4" s="6"/>
      <c r="F4" s="6"/>
      <c r="G4" s="6"/>
      <c r="H4" s="6"/>
      <c r="I4" s="6"/>
      <c r="J4" s="6"/>
      <c r="K4" s="6"/>
      <c r="L4" s="6"/>
      <c r="M4" s="6"/>
      <c r="N4" s="6"/>
      <c r="O4" s="6"/>
      <c r="P4" s="6"/>
    </row>
    <row r="5" spans="2:16" x14ac:dyDescent="0.35">
      <c r="B5" s="8"/>
      <c r="D5" s="9"/>
    </row>
    <row r="6" spans="2:16" x14ac:dyDescent="0.35">
      <c r="B6" s="4">
        <v>1</v>
      </c>
      <c r="C6" s="10" t="s">
        <v>969</v>
      </c>
    </row>
    <row r="7" spans="2:16" x14ac:dyDescent="0.35">
      <c r="B7" s="4">
        <v>2</v>
      </c>
      <c r="C7" s="10" t="s">
        <v>970</v>
      </c>
    </row>
    <row r="8" spans="2:16" x14ac:dyDescent="0.35">
      <c r="B8" s="11" t="s">
        <v>1</v>
      </c>
      <c r="C8" s="10" t="s">
        <v>971</v>
      </c>
    </row>
    <row r="9" spans="2:16" x14ac:dyDescent="0.35">
      <c r="B9" s="11" t="s">
        <v>1</v>
      </c>
      <c r="C9" s="10" t="s">
        <v>972</v>
      </c>
    </row>
    <row r="10" spans="2:16" x14ac:dyDescent="0.35">
      <c r="B10" s="11" t="s">
        <v>1</v>
      </c>
      <c r="C10" s="10" t="s">
        <v>973</v>
      </c>
    </row>
    <row r="11" spans="2:16" x14ac:dyDescent="0.35">
      <c r="B11" s="11" t="s">
        <v>1</v>
      </c>
      <c r="C11" s="10" t="s">
        <v>974</v>
      </c>
    </row>
    <row r="12" spans="2:16" x14ac:dyDescent="0.35">
      <c r="B12" s="11" t="s">
        <v>1</v>
      </c>
      <c r="C12" s="10" t="s">
        <v>975</v>
      </c>
    </row>
    <row r="13" spans="2:16" x14ac:dyDescent="0.35">
      <c r="B13" s="4">
        <v>3</v>
      </c>
      <c r="C13" s="73" t="s">
        <v>976</v>
      </c>
    </row>
    <row r="14" spans="2:16" x14ac:dyDescent="0.35">
      <c r="B14" s="4">
        <v>4</v>
      </c>
      <c r="C14" s="4" t="s">
        <v>977</v>
      </c>
    </row>
    <row r="15" spans="2:16" x14ac:dyDescent="0.35">
      <c r="B15" s="4">
        <v>5</v>
      </c>
      <c r="C15" s="4" t="s">
        <v>978</v>
      </c>
    </row>
    <row r="16" spans="2:16" x14ac:dyDescent="0.35">
      <c r="B16" s="4">
        <v>6</v>
      </c>
      <c r="C16" s="4" t="s">
        <v>1286</v>
      </c>
    </row>
    <row r="18" spans="1:16" ht="19" thickBot="1" x14ac:dyDescent="0.5">
      <c r="B18" s="286" t="s">
        <v>979</v>
      </c>
      <c r="C18" s="6"/>
      <c r="D18" s="7"/>
      <c r="E18" s="6"/>
      <c r="F18" s="6"/>
      <c r="G18" s="6"/>
      <c r="H18" s="6"/>
      <c r="I18" s="6"/>
      <c r="J18" s="6"/>
      <c r="K18" s="6"/>
      <c r="L18" s="6"/>
      <c r="M18" s="6"/>
      <c r="N18" s="6"/>
      <c r="O18" s="6"/>
      <c r="P18" s="6"/>
    </row>
    <row r="20" spans="1:16" x14ac:dyDescent="0.35">
      <c r="B20" s="4">
        <v>1</v>
      </c>
      <c r="C20" s="4" t="s">
        <v>980</v>
      </c>
    </row>
    <row r="21" spans="1:16" x14ac:dyDescent="0.35">
      <c r="C21" s="12" t="s">
        <v>5</v>
      </c>
    </row>
    <row r="22" spans="1:16" x14ac:dyDescent="0.35">
      <c r="C22" s="12" t="s">
        <v>981</v>
      </c>
    </row>
    <row r="23" spans="1:16" x14ac:dyDescent="0.35">
      <c r="C23" s="12" t="s">
        <v>982</v>
      </c>
    </row>
    <row r="24" spans="1:16" x14ac:dyDescent="0.35">
      <c r="C24" s="12" t="s">
        <v>983</v>
      </c>
    </row>
    <row r="25" spans="1:16" x14ac:dyDescent="0.35">
      <c r="B25" s="4">
        <v>2</v>
      </c>
      <c r="C25" s="4" t="s">
        <v>984</v>
      </c>
    </row>
    <row r="26" spans="1:16" x14ac:dyDescent="0.35">
      <c r="B26" s="4">
        <v>3</v>
      </c>
      <c r="C26" s="4" t="s">
        <v>985</v>
      </c>
    </row>
    <row r="28" spans="1:16" s="274" customFormat="1" ht="16" x14ac:dyDescent="0.4">
      <c r="A28" s="308"/>
      <c r="B28" s="308"/>
      <c r="C28" s="275" t="s">
        <v>6</v>
      </c>
      <c r="D28" s="276" t="s">
        <v>7</v>
      </c>
    </row>
    <row r="30" spans="1:16" x14ac:dyDescent="0.35">
      <c r="C30" s="4" t="s">
        <v>986</v>
      </c>
    </row>
    <row r="31" spans="1:16" outlineLevel="1" x14ac:dyDescent="0.35"/>
    <row r="32" spans="1:16" outlineLevel="1" x14ac:dyDescent="0.35">
      <c r="C32" s="13" t="s">
        <v>9</v>
      </c>
      <c r="D32" s="14" t="s">
        <v>987</v>
      </c>
    </row>
    <row r="33" spans="3:4" ht="58" outlineLevel="1" x14ac:dyDescent="0.35">
      <c r="C33" s="15" t="s">
        <v>11</v>
      </c>
      <c r="D33" s="16" t="s">
        <v>988</v>
      </c>
    </row>
    <row r="34" spans="3:4" outlineLevel="1" x14ac:dyDescent="0.35">
      <c r="C34" s="15" t="s">
        <v>127</v>
      </c>
      <c r="D34" s="16" t="s">
        <v>989</v>
      </c>
    </row>
    <row r="35" spans="3:4" outlineLevel="1" x14ac:dyDescent="0.35">
      <c r="C35" s="15" t="s">
        <v>226</v>
      </c>
      <c r="D35" s="16" t="s">
        <v>990</v>
      </c>
    </row>
    <row r="36" spans="3:4" outlineLevel="1" x14ac:dyDescent="0.35"/>
    <row r="37" spans="3:4" ht="33" customHeight="1" outlineLevel="1" x14ac:dyDescent="0.35">
      <c r="C37" s="17" t="s">
        <v>536</v>
      </c>
      <c r="D37" s="17" t="s">
        <v>537</v>
      </c>
    </row>
    <row r="38" spans="3:4" outlineLevel="2" x14ac:dyDescent="0.35">
      <c r="C38" s="18" t="s">
        <v>747</v>
      </c>
      <c r="D38" s="18" t="s">
        <v>226</v>
      </c>
    </row>
    <row r="39" spans="3:4" outlineLevel="2" x14ac:dyDescent="0.35">
      <c r="C39" s="19" t="s">
        <v>748</v>
      </c>
      <c r="D39" s="19" t="s">
        <v>409</v>
      </c>
    </row>
    <row r="40" spans="3:4" outlineLevel="2" x14ac:dyDescent="0.35">
      <c r="C40" s="19" t="s">
        <v>748</v>
      </c>
      <c r="D40" s="19" t="s">
        <v>405</v>
      </c>
    </row>
    <row r="41" spans="3:4" outlineLevel="2" x14ac:dyDescent="0.35">
      <c r="C41" s="19" t="s">
        <v>748</v>
      </c>
      <c r="D41" s="19" t="s">
        <v>406</v>
      </c>
    </row>
    <row r="42" spans="3:4" outlineLevel="2" x14ac:dyDescent="0.35">
      <c r="C42" s="19" t="s">
        <v>749</v>
      </c>
      <c r="D42" s="19" t="s">
        <v>750</v>
      </c>
    </row>
    <row r="43" spans="3:4" outlineLevel="2" x14ac:dyDescent="0.35">
      <c r="C43" s="19" t="s">
        <v>749</v>
      </c>
      <c r="D43" s="19" t="s">
        <v>751</v>
      </c>
    </row>
    <row r="44" spans="3:4" outlineLevel="2" x14ac:dyDescent="0.35">
      <c r="C44" s="19" t="s">
        <v>749</v>
      </c>
      <c r="D44" s="19" t="s">
        <v>385</v>
      </c>
    </row>
    <row r="45" spans="3:4" outlineLevel="2" x14ac:dyDescent="0.35">
      <c r="C45" s="19" t="s">
        <v>749</v>
      </c>
      <c r="D45" s="19" t="s">
        <v>446</v>
      </c>
    </row>
    <row r="46" spans="3:4" outlineLevel="2" x14ac:dyDescent="0.35">
      <c r="C46" s="19" t="s">
        <v>749</v>
      </c>
      <c r="D46" s="19" t="s">
        <v>411</v>
      </c>
    </row>
    <row r="47" spans="3:4" outlineLevel="2" x14ac:dyDescent="0.35">
      <c r="C47" s="14" t="s">
        <v>752</v>
      </c>
      <c r="D47" s="14" t="s">
        <v>22</v>
      </c>
    </row>
    <row r="48" spans="3:4" outlineLevel="2" x14ac:dyDescent="0.35">
      <c r="C48" s="14" t="s">
        <v>752</v>
      </c>
      <c r="D48" s="14" t="s">
        <v>21</v>
      </c>
    </row>
    <row r="49" spans="3:4" outlineLevel="2" x14ac:dyDescent="0.35">
      <c r="C49" s="14" t="s">
        <v>16</v>
      </c>
      <c r="D49" s="14" t="s">
        <v>180</v>
      </c>
    </row>
    <row r="50" spans="3:4" outlineLevel="2" x14ac:dyDescent="0.35">
      <c r="C50" s="14" t="str">
        <f>C49</f>
        <v>HSE</v>
      </c>
      <c r="D50" s="14" t="s">
        <v>181</v>
      </c>
    </row>
    <row r="51" spans="3:4" outlineLevel="2" x14ac:dyDescent="0.35">
      <c r="C51" s="14" t="s">
        <v>332</v>
      </c>
      <c r="D51" s="14" t="s">
        <v>128</v>
      </c>
    </row>
    <row r="52" spans="3:4" outlineLevel="2" x14ac:dyDescent="0.35">
      <c r="C52" s="14" t="s">
        <v>332</v>
      </c>
      <c r="D52" s="14" t="s">
        <v>24</v>
      </c>
    </row>
    <row r="53" spans="3:4" outlineLevel="2" x14ac:dyDescent="0.35">
      <c r="C53" s="14" t="s">
        <v>512</v>
      </c>
      <c r="D53" s="14" t="s">
        <v>135</v>
      </c>
    </row>
    <row r="54" spans="3:4" outlineLevel="2" x14ac:dyDescent="0.35">
      <c r="C54" s="14" t="s">
        <v>512</v>
      </c>
      <c r="D54" s="14" t="s">
        <v>17</v>
      </c>
    </row>
    <row r="55" spans="3:4" outlineLevel="2" x14ac:dyDescent="0.35">
      <c r="C55" s="14" t="s">
        <v>512</v>
      </c>
      <c r="D55" s="14" t="s">
        <v>14</v>
      </c>
    </row>
    <row r="56" spans="3:4" outlineLevel="2" x14ac:dyDescent="0.35">
      <c r="C56" s="14" t="s">
        <v>512</v>
      </c>
      <c r="D56" s="14" t="s">
        <v>15</v>
      </c>
    </row>
    <row r="57" spans="3:4" outlineLevel="2" x14ac:dyDescent="0.35">
      <c r="C57" s="14" t="s">
        <v>512</v>
      </c>
      <c r="D57" s="14" t="s">
        <v>616</v>
      </c>
    </row>
    <row r="58" spans="3:4" outlineLevel="2" x14ac:dyDescent="0.35">
      <c r="C58" s="14" t="s">
        <v>512</v>
      </c>
      <c r="D58" s="14" t="s">
        <v>1280</v>
      </c>
    </row>
    <row r="59" spans="3:4" outlineLevel="2" x14ac:dyDescent="0.35">
      <c r="C59" s="14" t="s">
        <v>615</v>
      </c>
      <c r="D59" s="14" t="s">
        <v>1225</v>
      </c>
    </row>
    <row r="60" spans="3:4" outlineLevel="2" x14ac:dyDescent="0.35">
      <c r="C60" s="14" t="s">
        <v>615</v>
      </c>
      <c r="D60" s="14" t="s">
        <v>1254</v>
      </c>
    </row>
    <row r="61" spans="3:4" outlineLevel="2" x14ac:dyDescent="0.35">
      <c r="C61" s="14" t="s">
        <v>615</v>
      </c>
      <c r="D61" s="14" t="s">
        <v>1255</v>
      </c>
    </row>
    <row r="62" spans="3:4" outlineLevel="2" x14ac:dyDescent="0.35">
      <c r="C62" s="14" t="s">
        <v>1256</v>
      </c>
      <c r="D62" s="14" t="s">
        <v>214</v>
      </c>
    </row>
    <row r="63" spans="3:4" outlineLevel="2" x14ac:dyDescent="0.35">
      <c r="C63" s="14" t="s">
        <v>1256</v>
      </c>
      <c r="D63" s="14" t="s">
        <v>335</v>
      </c>
    </row>
    <row r="64" spans="3:4" outlineLevel="2" x14ac:dyDescent="0.35">
      <c r="C64" s="14" t="s">
        <v>129</v>
      </c>
      <c r="D64" s="14" t="s">
        <v>1281</v>
      </c>
    </row>
    <row r="65" spans="1:4" outlineLevel="2" x14ac:dyDescent="0.35">
      <c r="C65" s="14" t="s">
        <v>129</v>
      </c>
      <c r="D65" s="14" t="s">
        <v>753</v>
      </c>
    </row>
    <row r="66" spans="1:4" outlineLevel="2" x14ac:dyDescent="0.35">
      <c r="C66" s="14" t="s">
        <v>129</v>
      </c>
      <c r="D66" s="14" t="s">
        <v>1282</v>
      </c>
    </row>
    <row r="67" spans="1:4" outlineLevel="2" x14ac:dyDescent="0.35">
      <c r="C67" s="14" t="s">
        <v>333</v>
      </c>
      <c r="D67" s="14" t="s">
        <v>1227</v>
      </c>
    </row>
    <row r="68" spans="1:4" outlineLevel="2" x14ac:dyDescent="0.35">
      <c r="C68" s="14" t="s">
        <v>333</v>
      </c>
      <c r="D68" s="14" t="s">
        <v>18</v>
      </c>
    </row>
    <row r="69" spans="1:4" outlineLevel="2" x14ac:dyDescent="0.35">
      <c r="C69" s="14" t="s">
        <v>333</v>
      </c>
      <c r="D69" s="14" t="s">
        <v>19</v>
      </c>
    </row>
    <row r="70" spans="1:4" outlineLevel="2" x14ac:dyDescent="0.35">
      <c r="C70" s="14" t="s">
        <v>333</v>
      </c>
      <c r="D70" s="14" t="s">
        <v>20</v>
      </c>
    </row>
    <row r="71" spans="1:4" outlineLevel="2" x14ac:dyDescent="0.35">
      <c r="C71" s="20" t="s">
        <v>131</v>
      </c>
      <c r="D71" s="14" t="s">
        <v>334</v>
      </c>
    </row>
    <row r="72" spans="1:4" outlineLevel="2" x14ac:dyDescent="0.35">
      <c r="C72" s="14" t="s">
        <v>131</v>
      </c>
      <c r="D72" s="14" t="s">
        <v>25</v>
      </c>
    </row>
    <row r="73" spans="1:4" outlineLevel="2" x14ac:dyDescent="0.35">
      <c r="C73" s="14" t="s">
        <v>131</v>
      </c>
      <c r="D73" s="14" t="s">
        <v>26</v>
      </c>
    </row>
    <row r="74" spans="1:4" outlineLevel="1" x14ac:dyDescent="0.35"/>
    <row r="75" spans="1:4" outlineLevel="1" x14ac:dyDescent="0.35">
      <c r="C75" s="4" t="s">
        <v>991</v>
      </c>
    </row>
    <row r="77" spans="1:4" s="274" customFormat="1" ht="16" x14ac:dyDescent="0.4">
      <c r="A77" s="308"/>
      <c r="B77" s="308"/>
      <c r="C77" s="275" t="s">
        <v>490</v>
      </c>
      <c r="D77" s="284" t="s">
        <v>1258</v>
      </c>
    </row>
    <row r="79" spans="1:4" x14ac:dyDescent="0.35">
      <c r="C79" s="4" t="s">
        <v>992</v>
      </c>
    </row>
    <row r="80" spans="1:4" x14ac:dyDescent="0.35">
      <c r="C80" s="272" t="s">
        <v>755</v>
      </c>
      <c r="D80" s="21"/>
    </row>
    <row r="81" spans="3:4" outlineLevel="1" x14ac:dyDescent="0.35">
      <c r="C81" s="4" t="s">
        <v>993</v>
      </c>
    </row>
    <row r="82" spans="3:4" outlineLevel="1" x14ac:dyDescent="0.35">
      <c r="C82" s="4" t="s">
        <v>994</v>
      </c>
    </row>
    <row r="83" spans="3:4" outlineLevel="1" x14ac:dyDescent="0.35"/>
    <row r="84" spans="3:4" outlineLevel="1" x14ac:dyDescent="0.35">
      <c r="C84" s="18" t="s">
        <v>757</v>
      </c>
      <c r="D84" s="18" t="s">
        <v>758</v>
      </c>
    </row>
    <row r="85" spans="3:4" ht="66.75" customHeight="1" outlineLevel="1" x14ac:dyDescent="0.35">
      <c r="C85" s="22" t="s">
        <v>414</v>
      </c>
      <c r="D85" s="23" t="s">
        <v>995</v>
      </c>
    </row>
    <row r="86" spans="3:4" ht="43.5" outlineLevel="1" x14ac:dyDescent="0.35">
      <c r="C86" s="22" t="s">
        <v>228</v>
      </c>
      <c r="D86" s="24" t="s">
        <v>996</v>
      </c>
    </row>
    <row r="87" spans="3:4" ht="72.5" outlineLevel="1" x14ac:dyDescent="0.35">
      <c r="C87" s="25" t="s">
        <v>415</v>
      </c>
      <c r="D87" s="26" t="s">
        <v>997</v>
      </c>
    </row>
    <row r="88" spans="3:4" ht="33" customHeight="1" outlineLevel="1" x14ac:dyDescent="0.35">
      <c r="C88" s="27" t="s">
        <v>417</v>
      </c>
      <c r="D88" s="28" t="s">
        <v>998</v>
      </c>
    </row>
    <row r="89" spans="3:4" ht="153.75" customHeight="1" outlineLevel="1" x14ac:dyDescent="0.35">
      <c r="C89" s="29"/>
      <c r="D89" s="30" t="e" vm="1">
        <v>#VALUE!</v>
      </c>
    </row>
    <row r="90" spans="3:4" ht="58" outlineLevel="1" x14ac:dyDescent="0.35">
      <c r="C90" s="31" t="s">
        <v>529</v>
      </c>
      <c r="D90" s="32" t="s">
        <v>999</v>
      </c>
    </row>
    <row r="91" spans="3:4" outlineLevel="1" x14ac:dyDescent="0.35">
      <c r="C91" s="33" t="s">
        <v>762</v>
      </c>
      <c r="D91" s="34" t="s">
        <v>1000</v>
      </c>
    </row>
    <row r="92" spans="3:4" outlineLevel="1" x14ac:dyDescent="0.35">
      <c r="C92" s="33" t="s">
        <v>764</v>
      </c>
      <c r="D92" s="34" t="s">
        <v>1001</v>
      </c>
    </row>
    <row r="93" spans="3:4" outlineLevel="1" x14ac:dyDescent="0.35">
      <c r="C93" s="33" t="s">
        <v>762</v>
      </c>
      <c r="D93" s="34" t="s">
        <v>1002</v>
      </c>
    </row>
    <row r="94" spans="3:4" ht="58" outlineLevel="1" x14ac:dyDescent="0.35">
      <c r="C94" s="35" t="s">
        <v>338</v>
      </c>
      <c r="D94" s="24" t="s">
        <v>1003</v>
      </c>
    </row>
    <row r="95" spans="3:4" outlineLevel="1" x14ac:dyDescent="0.35">
      <c r="C95" s="35" t="s">
        <v>339</v>
      </c>
      <c r="D95" s="36" t="s">
        <v>1004</v>
      </c>
    </row>
    <row r="96" spans="3:4" outlineLevel="1" x14ac:dyDescent="0.35">
      <c r="C96" s="35" t="s">
        <v>493</v>
      </c>
      <c r="D96" s="36" t="s">
        <v>1005</v>
      </c>
    </row>
    <row r="97" spans="3:6" outlineLevel="1" x14ac:dyDescent="0.35">
      <c r="C97" s="35" t="s">
        <v>445</v>
      </c>
      <c r="D97" s="36" t="s">
        <v>1006</v>
      </c>
    </row>
    <row r="98" spans="3:6" outlineLevel="1" x14ac:dyDescent="0.35">
      <c r="C98" s="35" t="s">
        <v>432</v>
      </c>
      <c r="D98" s="36" t="s">
        <v>1007</v>
      </c>
    </row>
    <row r="99" spans="3:6" outlineLevel="1" x14ac:dyDescent="0.35">
      <c r="C99" s="35" t="s">
        <v>1008</v>
      </c>
      <c r="D99" s="36" t="s">
        <v>491</v>
      </c>
    </row>
    <row r="100" spans="3:6" outlineLevel="1" x14ac:dyDescent="0.35">
      <c r="C100" s="35" t="s">
        <v>1009</v>
      </c>
      <c r="D100" s="36" t="s">
        <v>492</v>
      </c>
    </row>
    <row r="101" spans="3:6" outlineLevel="1" x14ac:dyDescent="0.35">
      <c r="C101" s="37" t="s">
        <v>772</v>
      </c>
      <c r="D101" s="36" t="s">
        <v>1010</v>
      </c>
    </row>
    <row r="102" spans="3:6" outlineLevel="1" x14ac:dyDescent="0.35">
      <c r="C102" s="35" t="s">
        <v>495</v>
      </c>
      <c r="D102" s="36" t="s">
        <v>1011</v>
      </c>
    </row>
    <row r="103" spans="3:6" outlineLevel="1" x14ac:dyDescent="0.35"/>
    <row r="104" spans="3:6" outlineLevel="1" x14ac:dyDescent="0.35">
      <c r="C104" s="38" t="s">
        <v>1012</v>
      </c>
    </row>
    <row r="105" spans="3:6" outlineLevel="2" x14ac:dyDescent="0.35">
      <c r="C105" s="39" t="s">
        <v>29</v>
      </c>
      <c r="D105" s="18" t="s">
        <v>30</v>
      </c>
      <c r="E105" s="40" t="s">
        <v>1013</v>
      </c>
      <c r="F105" s="41"/>
    </row>
    <row r="106" spans="3:6" outlineLevel="2" x14ac:dyDescent="0.35">
      <c r="C106" s="42" t="s">
        <v>403</v>
      </c>
      <c r="D106" s="43"/>
      <c r="E106" s="44"/>
      <c r="F106" s="45"/>
    </row>
    <row r="107" spans="3:6" outlineLevel="2" x14ac:dyDescent="0.35">
      <c r="C107" s="46">
        <v>15000000</v>
      </c>
      <c r="D107" s="47" t="s">
        <v>388</v>
      </c>
      <c r="E107" s="48" t="s">
        <v>1014</v>
      </c>
      <c r="F107" s="49"/>
    </row>
    <row r="108" spans="3:6" ht="43.5" outlineLevel="2" x14ac:dyDescent="0.35">
      <c r="C108" s="50">
        <v>15000010</v>
      </c>
      <c r="D108" s="51" t="s">
        <v>389</v>
      </c>
      <c r="E108" s="52" t="s">
        <v>1015</v>
      </c>
      <c r="F108" s="53"/>
    </row>
    <row r="109" spans="3:6" ht="29" outlineLevel="2" x14ac:dyDescent="0.35">
      <c r="C109" s="50">
        <v>15000020</v>
      </c>
      <c r="D109" s="51" t="s">
        <v>390</v>
      </c>
      <c r="E109" s="52" t="s">
        <v>1016</v>
      </c>
      <c r="F109" s="53"/>
    </row>
    <row r="110" spans="3:6" ht="29" outlineLevel="2" x14ac:dyDescent="0.35">
      <c r="C110" s="50">
        <v>15000030</v>
      </c>
      <c r="D110" s="51" t="s">
        <v>391</v>
      </c>
      <c r="E110" s="52" t="s">
        <v>1017</v>
      </c>
      <c r="F110" s="53"/>
    </row>
    <row r="111" spans="3:6" ht="29" outlineLevel="2" x14ac:dyDescent="0.35">
      <c r="C111" s="50">
        <v>15000040</v>
      </c>
      <c r="D111" s="51" t="s">
        <v>392</v>
      </c>
      <c r="E111" s="52" t="s">
        <v>1018</v>
      </c>
      <c r="F111" s="53"/>
    </row>
    <row r="112" spans="3:6" ht="29" outlineLevel="2" x14ac:dyDescent="0.35">
      <c r="C112" s="50">
        <v>15000050</v>
      </c>
      <c r="D112" s="51" t="s">
        <v>393</v>
      </c>
      <c r="E112" s="52" t="s">
        <v>1019</v>
      </c>
      <c r="F112" s="53"/>
    </row>
    <row r="113" spans="1:6" ht="29" outlineLevel="2" x14ac:dyDescent="0.35">
      <c r="C113" s="50">
        <v>15000060</v>
      </c>
      <c r="D113" s="51" t="s">
        <v>394</v>
      </c>
      <c r="E113" s="52" t="s">
        <v>1020</v>
      </c>
      <c r="F113" s="53"/>
    </row>
    <row r="114" spans="1:6" ht="29" outlineLevel="2" x14ac:dyDescent="0.35">
      <c r="C114" s="54">
        <v>15000070</v>
      </c>
      <c r="D114" s="55" t="s">
        <v>395</v>
      </c>
      <c r="E114" s="56" t="s">
        <v>1021</v>
      </c>
      <c r="F114" s="53"/>
    </row>
    <row r="115" spans="1:6" ht="16.5" customHeight="1" outlineLevel="2" x14ac:dyDescent="0.35">
      <c r="C115" s="54">
        <v>15000080</v>
      </c>
      <c r="D115" s="55" t="s">
        <v>396</v>
      </c>
      <c r="E115" s="56" t="s">
        <v>1022</v>
      </c>
      <c r="F115" s="53"/>
    </row>
    <row r="116" spans="1:6" ht="29" outlineLevel="2" x14ac:dyDescent="0.35">
      <c r="C116" s="54">
        <v>15200000</v>
      </c>
      <c r="D116" s="55" t="s">
        <v>397</v>
      </c>
      <c r="E116" s="56" t="s">
        <v>1023</v>
      </c>
      <c r="F116" s="49"/>
    </row>
    <row r="117" spans="1:6" outlineLevel="2" x14ac:dyDescent="0.35">
      <c r="C117" s="57" t="s">
        <v>1024</v>
      </c>
      <c r="D117" s="58"/>
      <c r="E117" s="59"/>
      <c r="F117" s="45"/>
    </row>
    <row r="118" spans="1:6" ht="43.5" outlineLevel="2" x14ac:dyDescent="0.35">
      <c r="C118" s="54">
        <v>15020010</v>
      </c>
      <c r="D118" s="55" t="s">
        <v>398</v>
      </c>
      <c r="E118" s="56" t="s">
        <v>1025</v>
      </c>
      <c r="F118" s="53"/>
    </row>
    <row r="119" spans="1:6" ht="43.5" outlineLevel="2" x14ac:dyDescent="0.35">
      <c r="C119" s="54">
        <v>15020020</v>
      </c>
      <c r="D119" s="55" t="s">
        <v>399</v>
      </c>
      <c r="E119" s="56" t="s">
        <v>1026</v>
      </c>
      <c r="F119" s="53"/>
    </row>
    <row r="120" spans="1:6" ht="29" outlineLevel="2" x14ac:dyDescent="0.35">
      <c r="C120" s="54">
        <v>15020030</v>
      </c>
      <c r="D120" s="55" t="s">
        <v>400</v>
      </c>
      <c r="E120" s="56" t="s">
        <v>1027</v>
      </c>
      <c r="F120" s="53"/>
    </row>
    <row r="121" spans="1:6" ht="29" outlineLevel="2" x14ac:dyDescent="0.35">
      <c r="C121" s="54">
        <v>15020040</v>
      </c>
      <c r="D121" s="55" t="s">
        <v>401</v>
      </c>
      <c r="E121" s="56" t="s">
        <v>1028</v>
      </c>
      <c r="F121" s="53"/>
    </row>
    <row r="122" spans="1:6" outlineLevel="2" x14ac:dyDescent="0.35">
      <c r="C122" s="54">
        <v>15020080</v>
      </c>
      <c r="D122" s="55" t="s">
        <v>402</v>
      </c>
      <c r="E122" s="56" t="s">
        <v>1029</v>
      </c>
      <c r="F122" s="53"/>
    </row>
    <row r="123" spans="1:6" ht="43.5" outlineLevel="2" x14ac:dyDescent="0.35">
      <c r="C123" s="60">
        <v>15020090</v>
      </c>
      <c r="D123" s="61" t="s">
        <v>422</v>
      </c>
      <c r="E123" s="62" t="s">
        <v>1030</v>
      </c>
      <c r="F123" s="53"/>
    </row>
    <row r="124" spans="1:6" outlineLevel="2" x14ac:dyDescent="0.35">
      <c r="C124" s="277"/>
      <c r="D124" s="49"/>
      <c r="E124" s="53"/>
      <c r="F124" s="53"/>
    </row>
    <row r="125" spans="1:6" s="280" customFormat="1" ht="16" x14ac:dyDescent="0.4">
      <c r="A125" s="310"/>
      <c r="B125" s="310"/>
      <c r="C125" s="278" t="s">
        <v>1265</v>
      </c>
      <c r="D125" s="279" t="s">
        <v>322</v>
      </c>
    </row>
    <row r="127" spans="1:6" outlineLevel="1" x14ac:dyDescent="0.35">
      <c r="C127" s="4" t="s">
        <v>1031</v>
      </c>
    </row>
    <row r="128" spans="1:6" outlineLevel="1" x14ac:dyDescent="0.35">
      <c r="C128" s="4" t="s">
        <v>1032</v>
      </c>
    </row>
    <row r="129" spans="3:6" outlineLevel="1" x14ac:dyDescent="0.35">
      <c r="C129" s="4" t="s">
        <v>1033</v>
      </c>
    </row>
    <row r="130" spans="3:6" outlineLevel="1" x14ac:dyDescent="0.35"/>
    <row r="131" spans="3:6" outlineLevel="1" x14ac:dyDescent="0.35">
      <c r="C131" s="287" t="s">
        <v>1269</v>
      </c>
      <c r="D131" s="287"/>
      <c r="E131" s="287" t="s">
        <v>1270</v>
      </c>
      <c r="F131" s="287"/>
    </row>
    <row r="132" spans="3:6" ht="58" outlineLevel="1" x14ac:dyDescent="0.35">
      <c r="C132" s="63" t="s">
        <v>262</v>
      </c>
      <c r="D132" s="64" t="s">
        <v>1034</v>
      </c>
      <c r="E132" s="63" t="s">
        <v>404</v>
      </c>
      <c r="F132" s="64" t="s">
        <v>1271</v>
      </c>
    </row>
    <row r="133" spans="3:6" ht="49.5" customHeight="1" outlineLevel="1" x14ac:dyDescent="0.35">
      <c r="C133" s="63" t="s">
        <v>266</v>
      </c>
      <c r="D133" s="64" t="s">
        <v>1035</v>
      </c>
      <c r="E133" s="288"/>
      <c r="F133" s="289"/>
    </row>
    <row r="134" spans="3:6" ht="43.5" outlineLevel="1" x14ac:dyDescent="0.35">
      <c r="C134" s="65" t="s">
        <v>538</v>
      </c>
      <c r="D134" s="66" t="s">
        <v>1036</v>
      </c>
      <c r="E134" s="290"/>
      <c r="F134" s="289"/>
    </row>
    <row r="135" spans="3:6" ht="58" outlineLevel="1" x14ac:dyDescent="0.35">
      <c r="C135" s="65" t="s">
        <v>795</v>
      </c>
      <c r="D135" s="66" t="s">
        <v>1037</v>
      </c>
      <c r="E135" s="65" t="s">
        <v>795</v>
      </c>
      <c r="F135" s="66" t="s">
        <v>1037</v>
      </c>
    </row>
    <row r="136" spans="3:6" ht="58" outlineLevel="1" x14ac:dyDescent="0.35">
      <c r="C136" s="63" t="s">
        <v>529</v>
      </c>
      <c r="D136" s="64" t="s">
        <v>1038</v>
      </c>
      <c r="E136" s="63" t="s">
        <v>529</v>
      </c>
      <c r="F136" s="64" t="s">
        <v>1038</v>
      </c>
    </row>
    <row r="137" spans="3:6" ht="15" customHeight="1" outlineLevel="1" x14ac:dyDescent="0.35">
      <c r="C137" s="63" t="s">
        <v>539</v>
      </c>
      <c r="D137" s="64" t="s">
        <v>1039</v>
      </c>
      <c r="E137" s="63" t="s">
        <v>539</v>
      </c>
      <c r="F137" s="64" t="s">
        <v>1039</v>
      </c>
    </row>
    <row r="138" spans="3:6" ht="130.5" outlineLevel="1" x14ac:dyDescent="0.35">
      <c r="C138" s="67" t="s">
        <v>316</v>
      </c>
      <c r="D138" s="64" t="s">
        <v>1040</v>
      </c>
      <c r="E138" s="67" t="s">
        <v>316</v>
      </c>
      <c r="F138" s="64" t="s">
        <v>1040</v>
      </c>
    </row>
    <row r="139" spans="3:6" ht="130.5" outlineLevel="1" x14ac:dyDescent="0.35">
      <c r="C139" s="67" t="s">
        <v>317</v>
      </c>
      <c r="D139" s="68" t="s">
        <v>1041</v>
      </c>
      <c r="E139" s="67" t="s">
        <v>317</v>
      </c>
      <c r="F139" s="68" t="s">
        <v>1041</v>
      </c>
    </row>
    <row r="140" spans="3:6" ht="29" outlineLevel="1" x14ac:dyDescent="0.35">
      <c r="C140" s="67" t="s">
        <v>318</v>
      </c>
      <c r="D140" s="68" t="s">
        <v>1042</v>
      </c>
      <c r="E140" s="67" t="s">
        <v>318</v>
      </c>
      <c r="F140" s="68" t="s">
        <v>1042</v>
      </c>
    </row>
    <row r="141" spans="3:6" ht="43.5" outlineLevel="1" x14ac:dyDescent="0.35">
      <c r="C141" s="67" t="s">
        <v>320</v>
      </c>
      <c r="D141" s="68" t="s">
        <v>1043</v>
      </c>
      <c r="E141" s="67" t="s">
        <v>320</v>
      </c>
      <c r="F141" s="68" t="s">
        <v>1043</v>
      </c>
    </row>
    <row r="142" spans="3:6" ht="43.5" outlineLevel="1" x14ac:dyDescent="0.35">
      <c r="C142" s="67" t="s">
        <v>229</v>
      </c>
      <c r="D142" s="68" t="s">
        <v>1044</v>
      </c>
      <c r="E142" s="67" t="s">
        <v>229</v>
      </c>
      <c r="F142" s="68" t="s">
        <v>1044</v>
      </c>
    </row>
    <row r="143" spans="3:6" ht="58" outlineLevel="1" x14ac:dyDescent="0.35">
      <c r="C143" s="67" t="s">
        <v>319</v>
      </c>
      <c r="D143" s="68" t="s">
        <v>1045</v>
      </c>
      <c r="E143" s="67" t="s">
        <v>319</v>
      </c>
      <c r="F143" s="68" t="s">
        <v>1045</v>
      </c>
    </row>
    <row r="144" spans="3:6" ht="58" outlineLevel="1" x14ac:dyDescent="0.35">
      <c r="C144" s="67" t="s">
        <v>732</v>
      </c>
      <c r="D144" s="68" t="s">
        <v>1046</v>
      </c>
      <c r="E144" s="67" t="s">
        <v>732</v>
      </c>
      <c r="F144" s="68" t="s">
        <v>1046</v>
      </c>
    </row>
    <row r="145" spans="3:14" outlineLevel="1" x14ac:dyDescent="0.35"/>
    <row r="147" spans="3:14" x14ac:dyDescent="0.35">
      <c r="C147" s="38" t="s">
        <v>816</v>
      </c>
    </row>
    <row r="148" spans="3:14" outlineLevel="2" x14ac:dyDescent="0.35">
      <c r="C148" s="18" t="s">
        <v>817</v>
      </c>
      <c r="D148" s="18" t="s">
        <v>818</v>
      </c>
      <c r="E148" s="40" t="s">
        <v>819</v>
      </c>
      <c r="F148" s="40" t="s">
        <v>820</v>
      </c>
      <c r="G148" s="74" t="s">
        <v>821</v>
      </c>
      <c r="H148" s="75"/>
      <c r="L148" s="76"/>
      <c r="M148" s="76"/>
      <c r="N148" s="76"/>
    </row>
    <row r="149" spans="3:14" outlineLevel="4" x14ac:dyDescent="0.35">
      <c r="C149" s="69">
        <v>50200010</v>
      </c>
      <c r="D149" s="52" t="s">
        <v>822</v>
      </c>
      <c r="E149" s="52" t="s">
        <v>1057</v>
      </c>
      <c r="F149" s="70" t="s">
        <v>268</v>
      </c>
      <c r="G149" s="77" t="s">
        <v>824</v>
      </c>
      <c r="H149" s="78"/>
      <c r="L149" s="283"/>
      <c r="M149" s="283"/>
      <c r="N149" s="283"/>
    </row>
    <row r="150" spans="3:14" outlineLevel="4" x14ac:dyDescent="0.35">
      <c r="C150" s="69">
        <v>50300010</v>
      </c>
      <c r="D150" s="52" t="s">
        <v>33</v>
      </c>
      <c r="E150" s="52" t="s">
        <v>1058</v>
      </c>
      <c r="F150" s="71" t="s">
        <v>269</v>
      </c>
      <c r="G150" s="79" t="s">
        <v>34</v>
      </c>
      <c r="H150" s="78"/>
      <c r="L150" s="283"/>
      <c r="M150" s="283"/>
      <c r="N150" s="283"/>
    </row>
    <row r="151" spans="3:14" outlineLevel="4" x14ac:dyDescent="0.35">
      <c r="C151" s="69">
        <v>50300020</v>
      </c>
      <c r="D151" s="52" t="s">
        <v>35</v>
      </c>
      <c r="E151" s="52" t="s">
        <v>1059</v>
      </c>
      <c r="F151" s="52" t="s">
        <v>269</v>
      </c>
      <c r="G151" s="79" t="s">
        <v>34</v>
      </c>
      <c r="H151" s="78"/>
      <c r="L151" s="283"/>
      <c r="M151" s="283"/>
      <c r="N151" s="283"/>
    </row>
    <row r="152" spans="3:14" outlineLevel="4" x14ac:dyDescent="0.35">
      <c r="C152" s="69">
        <v>50300030</v>
      </c>
      <c r="D152" s="52" t="s">
        <v>36</v>
      </c>
      <c r="E152" s="52" t="s">
        <v>1060</v>
      </c>
      <c r="F152" s="52" t="s">
        <v>269</v>
      </c>
      <c r="G152" s="79" t="s">
        <v>34</v>
      </c>
      <c r="H152" s="78"/>
      <c r="L152" s="283"/>
      <c r="M152" s="283"/>
      <c r="N152" s="283"/>
    </row>
    <row r="153" spans="3:14" outlineLevel="4" x14ac:dyDescent="0.35">
      <c r="C153" s="69">
        <v>50300040</v>
      </c>
      <c r="D153" s="52" t="s">
        <v>37</v>
      </c>
      <c r="E153" s="52" t="s">
        <v>1061</v>
      </c>
      <c r="F153" s="52" t="s">
        <v>269</v>
      </c>
      <c r="G153" s="79" t="s">
        <v>34</v>
      </c>
      <c r="H153" s="78"/>
      <c r="L153" s="283"/>
      <c r="M153" s="283"/>
      <c r="N153" s="283"/>
    </row>
    <row r="154" spans="3:14" outlineLevel="4" x14ac:dyDescent="0.35">
      <c r="C154" s="69">
        <v>50300050</v>
      </c>
      <c r="D154" s="52" t="s">
        <v>38</v>
      </c>
      <c r="E154" s="52" t="s">
        <v>1062</v>
      </c>
      <c r="F154" s="52" t="s">
        <v>269</v>
      </c>
      <c r="G154" s="79" t="s">
        <v>34</v>
      </c>
      <c r="H154" s="78"/>
      <c r="L154" s="283"/>
      <c r="M154" s="283"/>
      <c r="N154" s="283"/>
    </row>
    <row r="155" spans="3:14" outlineLevel="4" x14ac:dyDescent="0.35">
      <c r="C155" s="69">
        <v>50300060</v>
      </c>
      <c r="D155" s="52" t="s">
        <v>830</v>
      </c>
      <c r="E155" s="52" t="s">
        <v>1063</v>
      </c>
      <c r="F155" s="52" t="s">
        <v>269</v>
      </c>
      <c r="G155" s="79" t="s">
        <v>34</v>
      </c>
      <c r="H155" s="78"/>
      <c r="L155" s="283"/>
      <c r="M155" s="283"/>
      <c r="N155" s="283"/>
    </row>
    <row r="156" spans="3:14" outlineLevel="4" x14ac:dyDescent="0.35">
      <c r="C156" s="69">
        <v>50300070</v>
      </c>
      <c r="D156" s="52" t="s">
        <v>313</v>
      </c>
      <c r="E156" s="52" t="s">
        <v>1064</v>
      </c>
      <c r="F156" s="56" t="s">
        <v>269</v>
      </c>
      <c r="G156" s="79" t="s">
        <v>34</v>
      </c>
      <c r="H156" s="78"/>
      <c r="L156" s="283"/>
      <c r="M156" s="283"/>
      <c r="N156" s="283"/>
    </row>
    <row r="157" spans="3:14" outlineLevel="4" x14ac:dyDescent="0.35">
      <c r="C157" s="69">
        <v>50300080</v>
      </c>
      <c r="D157" s="52" t="s">
        <v>39</v>
      </c>
      <c r="E157" s="52" t="s">
        <v>1065</v>
      </c>
      <c r="F157" s="56" t="s">
        <v>269</v>
      </c>
      <c r="G157" s="79" t="s">
        <v>34</v>
      </c>
      <c r="H157" s="78"/>
      <c r="L157" s="283"/>
      <c r="M157" s="283"/>
      <c r="N157" s="283"/>
    </row>
    <row r="158" spans="3:14" outlineLevel="4" x14ac:dyDescent="0.35">
      <c r="C158" s="69">
        <v>50300090</v>
      </c>
      <c r="D158" s="52" t="s">
        <v>40</v>
      </c>
      <c r="E158" s="52" t="s">
        <v>1066</v>
      </c>
      <c r="F158" s="56" t="s">
        <v>269</v>
      </c>
      <c r="G158" s="79" t="s">
        <v>34</v>
      </c>
      <c r="H158" s="78"/>
      <c r="L158" s="283"/>
      <c r="M158" s="283"/>
      <c r="N158" s="283"/>
    </row>
    <row r="159" spans="3:14" outlineLevel="4" x14ac:dyDescent="0.35">
      <c r="C159" s="69">
        <v>50300100</v>
      </c>
      <c r="D159" s="52" t="s">
        <v>41</v>
      </c>
      <c r="E159" s="52" t="s">
        <v>1067</v>
      </c>
      <c r="F159" s="56" t="s">
        <v>269</v>
      </c>
      <c r="G159" s="79" t="s">
        <v>34</v>
      </c>
      <c r="H159" s="78"/>
      <c r="L159" s="283"/>
      <c r="M159" s="283"/>
      <c r="N159" s="283"/>
    </row>
    <row r="160" spans="3:14" outlineLevel="4" x14ac:dyDescent="0.35">
      <c r="C160" s="69">
        <v>50300110</v>
      </c>
      <c r="D160" s="52" t="s">
        <v>836</v>
      </c>
      <c r="E160" s="52" t="s">
        <v>1068</v>
      </c>
      <c r="F160" s="56" t="s">
        <v>269</v>
      </c>
      <c r="G160" s="79" t="s">
        <v>34</v>
      </c>
      <c r="H160" s="78"/>
      <c r="L160" s="283"/>
      <c r="M160" s="283"/>
      <c r="N160" s="283"/>
    </row>
    <row r="161" spans="3:14" outlineLevel="4" x14ac:dyDescent="0.35">
      <c r="C161" s="69">
        <v>50300120</v>
      </c>
      <c r="D161" s="52" t="s">
        <v>838</v>
      </c>
      <c r="E161" s="52" t="s">
        <v>1069</v>
      </c>
      <c r="F161" s="56" t="s">
        <v>269</v>
      </c>
      <c r="G161" s="79" t="s">
        <v>34</v>
      </c>
      <c r="H161" s="78"/>
      <c r="L161" s="283"/>
      <c r="M161" s="283"/>
      <c r="N161" s="283"/>
    </row>
    <row r="162" spans="3:14" outlineLevel="4" x14ac:dyDescent="0.35">
      <c r="C162" s="69">
        <v>50300990</v>
      </c>
      <c r="D162" s="52" t="s">
        <v>42</v>
      </c>
      <c r="E162" s="52" t="s">
        <v>1070</v>
      </c>
      <c r="F162" s="56" t="s">
        <v>269</v>
      </c>
      <c r="G162" s="79" t="s">
        <v>34</v>
      </c>
      <c r="H162" s="78"/>
      <c r="L162" s="283"/>
      <c r="M162" s="283"/>
      <c r="N162" s="283"/>
    </row>
    <row r="163" spans="3:14" outlineLevel="4" x14ac:dyDescent="0.35">
      <c r="C163" s="69">
        <v>50400010</v>
      </c>
      <c r="D163" s="52" t="s">
        <v>841</v>
      </c>
      <c r="E163" s="52" t="s">
        <v>1071</v>
      </c>
      <c r="F163" s="56" t="s">
        <v>270</v>
      </c>
      <c r="G163" s="79" t="s">
        <v>34</v>
      </c>
      <c r="H163" s="78"/>
      <c r="L163" s="283"/>
      <c r="M163" s="283"/>
      <c r="N163" s="283"/>
    </row>
    <row r="164" spans="3:14" outlineLevel="4" x14ac:dyDescent="0.35">
      <c r="C164" s="69">
        <v>50500010</v>
      </c>
      <c r="D164" s="52" t="s">
        <v>843</v>
      </c>
      <c r="E164" s="52" t="s">
        <v>1072</v>
      </c>
      <c r="F164" s="56" t="s">
        <v>271</v>
      </c>
      <c r="G164" s="77" t="s">
        <v>824</v>
      </c>
      <c r="H164" s="78"/>
      <c r="L164" s="283"/>
      <c r="M164" s="283"/>
      <c r="N164" s="283"/>
    </row>
    <row r="165" spans="3:14" outlineLevel="4" x14ac:dyDescent="0.35">
      <c r="C165" s="69">
        <v>50500020</v>
      </c>
      <c r="D165" s="52" t="s">
        <v>314</v>
      </c>
      <c r="E165" s="52" t="s">
        <v>1073</v>
      </c>
      <c r="F165" s="56" t="s">
        <v>271</v>
      </c>
      <c r="G165" s="77" t="s">
        <v>824</v>
      </c>
      <c r="H165" s="78"/>
      <c r="L165" s="283"/>
      <c r="M165" s="283"/>
      <c r="N165" s="283"/>
    </row>
    <row r="166" spans="3:14" outlineLevel="4" x14ac:dyDescent="0.35">
      <c r="C166" s="69">
        <v>50500030</v>
      </c>
      <c r="D166" s="52" t="s">
        <v>846</v>
      </c>
      <c r="E166" s="52" t="s">
        <v>1074</v>
      </c>
      <c r="F166" s="56" t="s">
        <v>271</v>
      </c>
      <c r="G166" s="77" t="s">
        <v>824</v>
      </c>
      <c r="H166" s="78"/>
      <c r="L166" s="283"/>
      <c r="M166" s="283"/>
      <c r="N166" s="283"/>
    </row>
    <row r="167" spans="3:14" outlineLevel="4" x14ac:dyDescent="0.35">
      <c r="C167" s="69">
        <v>50500040</v>
      </c>
      <c r="D167" s="52" t="s">
        <v>60</v>
      </c>
      <c r="E167" s="52" t="s">
        <v>1075</v>
      </c>
      <c r="F167" s="56" t="s">
        <v>271</v>
      </c>
      <c r="G167" s="77" t="s">
        <v>824</v>
      </c>
      <c r="H167" s="78"/>
      <c r="L167" s="283"/>
      <c r="M167" s="283"/>
      <c r="N167" s="283"/>
    </row>
    <row r="168" spans="3:14" outlineLevel="4" x14ac:dyDescent="0.35">
      <c r="C168" s="69">
        <v>50600010</v>
      </c>
      <c r="D168" s="52" t="s">
        <v>231</v>
      </c>
      <c r="E168" s="52" t="s">
        <v>1076</v>
      </c>
      <c r="F168" s="56" t="s">
        <v>272</v>
      </c>
      <c r="G168" s="77" t="s">
        <v>824</v>
      </c>
      <c r="H168" s="78"/>
      <c r="L168" s="283"/>
      <c r="M168" s="283"/>
      <c r="N168" s="283"/>
    </row>
    <row r="169" spans="3:14" outlineLevel="4" x14ac:dyDescent="0.35">
      <c r="C169" s="69">
        <v>50600020</v>
      </c>
      <c r="D169" s="52" t="s">
        <v>232</v>
      </c>
      <c r="E169" s="52" t="s">
        <v>1077</v>
      </c>
      <c r="F169" s="56" t="s">
        <v>272</v>
      </c>
      <c r="G169" s="77" t="s">
        <v>824</v>
      </c>
      <c r="H169" s="78"/>
      <c r="L169" s="283"/>
      <c r="M169" s="283"/>
      <c r="N169" s="283"/>
    </row>
    <row r="170" spans="3:14" outlineLevel="4" x14ac:dyDescent="0.35">
      <c r="C170" s="69">
        <v>50600030</v>
      </c>
      <c r="D170" s="52" t="s">
        <v>850</v>
      </c>
      <c r="E170" s="52" t="s">
        <v>1078</v>
      </c>
      <c r="F170" s="56" t="s">
        <v>272</v>
      </c>
      <c r="G170" s="77" t="s">
        <v>824</v>
      </c>
      <c r="H170" s="78"/>
      <c r="L170" s="283"/>
      <c r="M170" s="283"/>
      <c r="N170" s="283"/>
    </row>
    <row r="171" spans="3:14" outlineLevel="4" x14ac:dyDescent="0.35">
      <c r="C171" s="69">
        <v>50600040</v>
      </c>
      <c r="D171" s="52" t="s">
        <v>234</v>
      </c>
      <c r="E171" s="52" t="s">
        <v>1079</v>
      </c>
      <c r="F171" s="56" t="s">
        <v>272</v>
      </c>
      <c r="G171" s="77" t="s">
        <v>824</v>
      </c>
      <c r="H171" s="78"/>
      <c r="L171" s="283"/>
      <c r="M171" s="283"/>
      <c r="N171" s="283"/>
    </row>
    <row r="172" spans="3:14" outlineLevel="4" x14ac:dyDescent="0.35">
      <c r="C172" s="69">
        <v>50800010</v>
      </c>
      <c r="D172" s="52" t="s">
        <v>853</v>
      </c>
      <c r="E172" s="52" t="s">
        <v>1080</v>
      </c>
      <c r="F172" s="56" t="s">
        <v>273</v>
      </c>
      <c r="G172" s="77" t="s">
        <v>824</v>
      </c>
      <c r="H172" s="78"/>
      <c r="L172" s="283"/>
      <c r="M172" s="283"/>
      <c r="N172" s="283"/>
    </row>
    <row r="173" spans="3:14" outlineLevel="4" x14ac:dyDescent="0.35">
      <c r="C173" s="69">
        <v>50800020</v>
      </c>
      <c r="D173" s="52" t="s">
        <v>64</v>
      </c>
      <c r="E173" s="52" t="s">
        <v>1081</v>
      </c>
      <c r="F173" s="56" t="s">
        <v>273</v>
      </c>
      <c r="G173" s="77" t="s">
        <v>824</v>
      </c>
      <c r="H173" s="78"/>
      <c r="L173" s="283"/>
      <c r="M173" s="283"/>
      <c r="N173" s="283"/>
    </row>
    <row r="174" spans="3:14" outlineLevel="4" x14ac:dyDescent="0.35">
      <c r="C174" s="69">
        <v>50800030</v>
      </c>
      <c r="D174" s="52" t="s">
        <v>65</v>
      </c>
      <c r="E174" s="52" t="s">
        <v>1082</v>
      </c>
      <c r="F174" s="56" t="s">
        <v>273</v>
      </c>
      <c r="G174" s="77" t="s">
        <v>824</v>
      </c>
      <c r="H174" s="78"/>
      <c r="L174" s="283"/>
      <c r="M174" s="283"/>
      <c r="N174" s="283"/>
    </row>
    <row r="175" spans="3:14" outlineLevel="4" x14ac:dyDescent="0.35">
      <c r="C175" s="69">
        <v>50800040</v>
      </c>
      <c r="D175" s="52" t="s">
        <v>66</v>
      </c>
      <c r="E175" s="52" t="s">
        <v>1083</v>
      </c>
      <c r="F175" s="56" t="s">
        <v>273</v>
      </c>
      <c r="G175" s="77" t="s">
        <v>824</v>
      </c>
      <c r="H175" s="78"/>
      <c r="L175" s="283"/>
      <c r="M175" s="283"/>
      <c r="N175" s="283"/>
    </row>
    <row r="176" spans="3:14" outlineLevel="4" x14ac:dyDescent="0.35">
      <c r="C176" s="69">
        <v>50800050</v>
      </c>
      <c r="D176" s="52" t="s">
        <v>67</v>
      </c>
      <c r="E176" s="52" t="s">
        <v>1084</v>
      </c>
      <c r="F176" s="56" t="s">
        <v>273</v>
      </c>
      <c r="G176" s="77" t="s">
        <v>824</v>
      </c>
      <c r="H176" s="78"/>
      <c r="L176" s="283"/>
      <c r="M176" s="283"/>
      <c r="N176" s="283"/>
    </row>
    <row r="177" spans="3:14" outlineLevel="4" x14ac:dyDescent="0.35">
      <c r="C177" s="69">
        <v>50800060</v>
      </c>
      <c r="D177" s="52" t="s">
        <v>68</v>
      </c>
      <c r="E177" s="52" t="s">
        <v>1085</v>
      </c>
      <c r="F177" s="56" t="s">
        <v>273</v>
      </c>
      <c r="G177" s="77" t="s">
        <v>824</v>
      </c>
      <c r="H177" s="78"/>
      <c r="L177" s="283"/>
      <c r="M177" s="283"/>
      <c r="N177" s="283"/>
    </row>
    <row r="178" spans="3:14" outlineLevel="4" x14ac:dyDescent="0.35">
      <c r="C178" s="69">
        <v>50800070</v>
      </c>
      <c r="D178" s="52" t="s">
        <v>69</v>
      </c>
      <c r="E178" s="52" t="s">
        <v>1086</v>
      </c>
      <c r="F178" s="56" t="s">
        <v>273</v>
      </c>
      <c r="G178" s="77" t="s">
        <v>824</v>
      </c>
      <c r="H178" s="78"/>
      <c r="L178" s="283"/>
      <c r="M178" s="283"/>
      <c r="N178" s="283"/>
    </row>
    <row r="179" spans="3:14" outlineLevel="4" x14ac:dyDescent="0.35">
      <c r="C179" s="69">
        <v>51100000</v>
      </c>
      <c r="D179" s="52" t="s">
        <v>235</v>
      </c>
      <c r="E179" s="52" t="s">
        <v>1087</v>
      </c>
      <c r="F179" s="56" t="s">
        <v>274</v>
      </c>
      <c r="G179" s="77" t="s">
        <v>824</v>
      </c>
      <c r="H179" s="78"/>
      <c r="L179" s="283"/>
      <c r="M179" s="283"/>
      <c r="N179" s="283"/>
    </row>
    <row r="180" spans="3:14" outlineLevel="4" x14ac:dyDescent="0.35">
      <c r="C180" s="69">
        <v>51300010</v>
      </c>
      <c r="D180" s="52" t="s">
        <v>245</v>
      </c>
      <c r="E180" s="52" t="s">
        <v>1088</v>
      </c>
      <c r="F180" s="56" t="s">
        <v>276</v>
      </c>
      <c r="G180" s="80" t="s">
        <v>139</v>
      </c>
      <c r="H180" s="78"/>
      <c r="L180" s="283"/>
      <c r="M180" s="283"/>
      <c r="N180" s="283"/>
    </row>
    <row r="181" spans="3:14" outlineLevel="4" x14ac:dyDescent="0.35">
      <c r="C181" s="69">
        <v>51300040</v>
      </c>
      <c r="D181" s="52" t="s">
        <v>248</v>
      </c>
      <c r="E181" s="52" t="s">
        <v>1089</v>
      </c>
      <c r="F181" s="56" t="s">
        <v>276</v>
      </c>
      <c r="G181" s="80" t="s">
        <v>139</v>
      </c>
      <c r="H181" s="78"/>
      <c r="L181" s="283"/>
      <c r="M181" s="283"/>
      <c r="N181" s="283"/>
    </row>
    <row r="182" spans="3:14" outlineLevel="4" x14ac:dyDescent="0.35">
      <c r="C182" s="69">
        <v>51300050</v>
      </c>
      <c r="D182" s="52" t="s">
        <v>249</v>
      </c>
      <c r="E182" s="52" t="s">
        <v>1090</v>
      </c>
      <c r="F182" s="56" t="s">
        <v>276</v>
      </c>
      <c r="G182" s="80" t="s">
        <v>139</v>
      </c>
      <c r="H182" s="78"/>
      <c r="L182" s="283"/>
      <c r="M182" s="283"/>
      <c r="N182" s="283"/>
    </row>
    <row r="183" spans="3:14" outlineLevel="4" x14ac:dyDescent="0.35">
      <c r="C183" s="69">
        <v>51300060</v>
      </c>
      <c r="D183" s="52" t="s">
        <v>250</v>
      </c>
      <c r="E183" s="52" t="s">
        <v>1091</v>
      </c>
      <c r="F183" s="56" t="s">
        <v>276</v>
      </c>
      <c r="G183" s="80" t="s">
        <v>139</v>
      </c>
      <c r="H183" s="78"/>
      <c r="L183" s="283"/>
      <c r="M183" s="283"/>
      <c r="N183" s="283"/>
    </row>
    <row r="184" spans="3:14" outlineLevel="4" x14ac:dyDescent="0.35">
      <c r="C184" s="69">
        <v>51300090</v>
      </c>
      <c r="D184" s="52" t="s">
        <v>253</v>
      </c>
      <c r="E184" s="52" t="s">
        <v>1092</v>
      </c>
      <c r="F184" s="56" t="s">
        <v>276</v>
      </c>
      <c r="G184" s="80" t="s">
        <v>139</v>
      </c>
      <c r="H184" s="78"/>
      <c r="L184" s="283"/>
      <c r="M184" s="283"/>
      <c r="N184" s="283"/>
    </row>
    <row r="185" spans="3:14" outlineLevel="4" x14ac:dyDescent="0.35">
      <c r="C185" s="69">
        <v>51500010</v>
      </c>
      <c r="D185" s="52" t="s">
        <v>867</v>
      </c>
      <c r="E185" s="52" t="s">
        <v>1093</v>
      </c>
      <c r="F185" s="56" t="s">
        <v>278</v>
      </c>
      <c r="G185" s="77" t="s">
        <v>824</v>
      </c>
      <c r="H185" s="78"/>
      <c r="L185" s="283"/>
      <c r="M185" s="283"/>
      <c r="N185" s="283"/>
    </row>
    <row r="186" spans="3:14" outlineLevel="4" x14ac:dyDescent="0.35">
      <c r="C186" s="69">
        <v>51600010</v>
      </c>
      <c r="D186" s="52" t="s">
        <v>74</v>
      </c>
      <c r="E186" s="52" t="s">
        <v>1094</v>
      </c>
      <c r="F186" s="56" t="s">
        <v>279</v>
      </c>
      <c r="G186" s="77" t="s">
        <v>824</v>
      </c>
      <c r="H186" s="78"/>
      <c r="L186" s="283"/>
      <c r="M186" s="283"/>
      <c r="N186" s="283"/>
    </row>
    <row r="187" spans="3:14" outlineLevel="4" x14ac:dyDescent="0.35">
      <c r="C187" s="69">
        <v>51600020</v>
      </c>
      <c r="D187" s="52" t="s">
        <v>75</v>
      </c>
      <c r="E187" s="52" t="s">
        <v>1095</v>
      </c>
      <c r="F187" s="56" t="s">
        <v>279</v>
      </c>
      <c r="G187" s="77" t="s">
        <v>824</v>
      </c>
      <c r="H187" s="78"/>
      <c r="L187" s="283"/>
      <c r="M187" s="283"/>
      <c r="N187" s="283"/>
    </row>
    <row r="188" spans="3:14" outlineLevel="4" x14ac:dyDescent="0.35">
      <c r="C188" s="69">
        <v>51600030</v>
      </c>
      <c r="D188" s="52" t="s">
        <v>76</v>
      </c>
      <c r="E188" s="52" t="s">
        <v>1096</v>
      </c>
      <c r="F188" s="56" t="s">
        <v>279</v>
      </c>
      <c r="G188" s="77" t="s">
        <v>824</v>
      </c>
      <c r="H188" s="78"/>
      <c r="L188" s="283"/>
      <c r="M188" s="283"/>
      <c r="N188" s="283"/>
    </row>
    <row r="189" spans="3:14" outlineLevel="4" x14ac:dyDescent="0.35">
      <c r="C189" s="69">
        <v>51600040</v>
      </c>
      <c r="D189" s="52" t="s">
        <v>77</v>
      </c>
      <c r="E189" s="52" t="s">
        <v>1097</v>
      </c>
      <c r="F189" s="56" t="s">
        <v>279</v>
      </c>
      <c r="G189" s="77" t="s">
        <v>824</v>
      </c>
      <c r="H189" s="78"/>
      <c r="L189" s="283"/>
      <c r="M189" s="283"/>
      <c r="N189" s="283"/>
    </row>
    <row r="190" spans="3:14" outlineLevel="4" x14ac:dyDescent="0.35">
      <c r="C190" s="69">
        <v>51600050</v>
      </c>
      <c r="D190" s="52" t="s">
        <v>256</v>
      </c>
      <c r="E190" s="52" t="s">
        <v>1098</v>
      </c>
      <c r="F190" s="56" t="s">
        <v>279</v>
      </c>
      <c r="G190" s="77" t="s">
        <v>824</v>
      </c>
      <c r="H190" s="78"/>
      <c r="L190" s="283"/>
      <c r="M190" s="283"/>
      <c r="N190" s="283"/>
    </row>
    <row r="191" spans="3:14" outlineLevel="4" x14ac:dyDescent="0.35">
      <c r="C191" s="69">
        <v>51600070</v>
      </c>
      <c r="D191" s="52" t="s">
        <v>78</v>
      </c>
      <c r="E191" s="52" t="s">
        <v>1099</v>
      </c>
      <c r="F191" s="56" t="s">
        <v>279</v>
      </c>
      <c r="G191" s="77" t="s">
        <v>824</v>
      </c>
      <c r="H191" s="78"/>
      <c r="L191" s="283"/>
      <c r="M191" s="283"/>
      <c r="N191" s="283"/>
    </row>
    <row r="192" spans="3:14" outlineLevel="4" x14ac:dyDescent="0.35">
      <c r="C192" s="69">
        <v>51700010</v>
      </c>
      <c r="D192" s="52" t="s">
        <v>79</v>
      </c>
      <c r="E192" s="52" t="s">
        <v>1100</v>
      </c>
      <c r="F192" s="56" t="s">
        <v>280</v>
      </c>
      <c r="G192" s="77" t="s">
        <v>824</v>
      </c>
      <c r="H192" s="78"/>
      <c r="L192" s="283"/>
      <c r="M192" s="283"/>
      <c r="N192" s="283"/>
    </row>
    <row r="193" spans="3:14" outlineLevel="4" x14ac:dyDescent="0.35">
      <c r="C193" s="69">
        <v>51700030</v>
      </c>
      <c r="D193" s="52" t="s">
        <v>80</v>
      </c>
      <c r="E193" s="52" t="s">
        <v>1101</v>
      </c>
      <c r="F193" s="56" t="s">
        <v>280</v>
      </c>
      <c r="G193" s="77" t="s">
        <v>824</v>
      </c>
      <c r="H193" s="78"/>
      <c r="L193" s="283"/>
      <c r="M193" s="283"/>
      <c r="N193" s="283"/>
    </row>
    <row r="194" spans="3:14" outlineLevel="4" x14ac:dyDescent="0.35">
      <c r="C194" s="69">
        <v>51700040</v>
      </c>
      <c r="D194" s="52" t="s">
        <v>81</v>
      </c>
      <c r="E194" s="52" t="s">
        <v>1102</v>
      </c>
      <c r="F194" s="56" t="s">
        <v>280</v>
      </c>
      <c r="G194" s="77" t="s">
        <v>824</v>
      </c>
      <c r="H194" s="78"/>
      <c r="L194" s="283"/>
      <c r="M194" s="283"/>
      <c r="N194" s="283"/>
    </row>
    <row r="195" spans="3:14" outlineLevel="4" x14ac:dyDescent="0.35">
      <c r="C195" s="69">
        <v>51700050</v>
      </c>
      <c r="D195" s="52" t="s">
        <v>82</v>
      </c>
      <c r="E195" s="52" t="s">
        <v>1103</v>
      </c>
      <c r="F195" s="56" t="s">
        <v>280</v>
      </c>
      <c r="G195" s="77" t="s">
        <v>824</v>
      </c>
      <c r="H195" s="78"/>
      <c r="L195" s="283"/>
      <c r="M195" s="283"/>
      <c r="N195" s="283"/>
    </row>
    <row r="196" spans="3:14" outlineLevel="4" x14ac:dyDescent="0.35">
      <c r="C196" s="69">
        <v>51700060</v>
      </c>
      <c r="D196" s="52" t="s">
        <v>83</v>
      </c>
      <c r="E196" s="52" t="s">
        <v>1104</v>
      </c>
      <c r="F196" s="56" t="s">
        <v>280</v>
      </c>
      <c r="G196" s="77" t="s">
        <v>824</v>
      </c>
      <c r="H196" s="78"/>
      <c r="L196" s="283"/>
      <c r="M196" s="283"/>
      <c r="N196" s="283"/>
    </row>
    <row r="197" spans="3:14" outlineLevel="4" x14ac:dyDescent="0.35">
      <c r="C197" s="69">
        <v>51700070</v>
      </c>
      <c r="D197" s="52" t="s">
        <v>84</v>
      </c>
      <c r="E197" s="52" t="s">
        <v>1105</v>
      </c>
      <c r="F197" s="56" t="s">
        <v>280</v>
      </c>
      <c r="G197" s="77" t="s">
        <v>824</v>
      </c>
      <c r="H197" s="78"/>
      <c r="L197" s="283"/>
      <c r="M197" s="283"/>
      <c r="N197" s="283"/>
    </row>
    <row r="198" spans="3:14" outlineLevel="4" x14ac:dyDescent="0.35">
      <c r="C198" s="69">
        <v>51800010</v>
      </c>
      <c r="D198" s="52" t="s">
        <v>85</v>
      </c>
      <c r="E198" s="52" t="s">
        <v>1106</v>
      </c>
      <c r="F198" s="56" t="s">
        <v>281</v>
      </c>
      <c r="G198" s="77" t="s">
        <v>824</v>
      </c>
      <c r="H198" s="78"/>
    </row>
    <row r="199" spans="3:14" outlineLevel="4" x14ac:dyDescent="0.35">
      <c r="C199" s="69">
        <v>51800020</v>
      </c>
      <c r="D199" s="52" t="s">
        <v>86</v>
      </c>
      <c r="E199" s="52" t="s">
        <v>1107</v>
      </c>
      <c r="F199" s="56" t="s">
        <v>281</v>
      </c>
      <c r="G199" s="77" t="s">
        <v>824</v>
      </c>
      <c r="H199" s="78"/>
    </row>
    <row r="200" spans="3:14" outlineLevel="4" x14ac:dyDescent="0.35">
      <c r="C200" s="69">
        <v>51800030</v>
      </c>
      <c r="D200" s="52" t="s">
        <v>87</v>
      </c>
      <c r="E200" s="52" t="s">
        <v>1108</v>
      </c>
      <c r="F200" s="56" t="s">
        <v>281</v>
      </c>
      <c r="G200" s="77" t="s">
        <v>824</v>
      </c>
      <c r="H200" s="78"/>
    </row>
    <row r="201" spans="3:14" outlineLevel="4" x14ac:dyDescent="0.35">
      <c r="C201" s="69">
        <v>51800090</v>
      </c>
      <c r="D201" s="52" t="s">
        <v>88</v>
      </c>
      <c r="E201" s="52" t="s">
        <v>1109</v>
      </c>
      <c r="F201" s="56" t="s">
        <v>281</v>
      </c>
      <c r="G201" s="77" t="s">
        <v>824</v>
      </c>
      <c r="H201" s="78"/>
    </row>
    <row r="202" spans="3:14" outlineLevel="4" x14ac:dyDescent="0.35">
      <c r="C202" s="69">
        <v>51900010</v>
      </c>
      <c r="D202" s="52" t="s">
        <v>89</v>
      </c>
      <c r="E202" s="52" t="s">
        <v>1110</v>
      </c>
      <c r="F202" s="56" t="s">
        <v>230</v>
      </c>
      <c r="G202" s="77" t="s">
        <v>824</v>
      </c>
      <c r="H202" s="78"/>
    </row>
    <row r="203" spans="3:14" outlineLevel="4" x14ac:dyDescent="0.35">
      <c r="C203" s="69">
        <v>51900020</v>
      </c>
      <c r="D203" s="52" t="s">
        <v>91</v>
      </c>
      <c r="E203" s="52" t="s">
        <v>1111</v>
      </c>
      <c r="F203" s="56" t="s">
        <v>230</v>
      </c>
      <c r="G203" s="77" t="s">
        <v>824</v>
      </c>
      <c r="H203" s="78"/>
    </row>
    <row r="204" spans="3:14" outlineLevel="4" x14ac:dyDescent="0.35">
      <c r="C204" s="69">
        <v>51900030</v>
      </c>
      <c r="D204" s="52" t="s">
        <v>92</v>
      </c>
      <c r="E204" s="52" t="s">
        <v>1112</v>
      </c>
      <c r="F204" s="56" t="s">
        <v>230</v>
      </c>
      <c r="G204" s="77" t="s">
        <v>824</v>
      </c>
      <c r="H204" s="78"/>
    </row>
    <row r="205" spans="3:14" outlineLevel="4" x14ac:dyDescent="0.35">
      <c r="C205" s="69">
        <v>51900040</v>
      </c>
      <c r="D205" s="52" t="s">
        <v>93</v>
      </c>
      <c r="E205" s="52" t="s">
        <v>1113</v>
      </c>
      <c r="F205" s="56" t="s">
        <v>230</v>
      </c>
      <c r="G205" s="77" t="s">
        <v>824</v>
      </c>
      <c r="H205" s="78"/>
    </row>
    <row r="206" spans="3:14" outlineLevel="4" x14ac:dyDescent="0.35">
      <c r="C206" s="69">
        <v>51900090</v>
      </c>
      <c r="D206" s="52" t="s">
        <v>94</v>
      </c>
      <c r="E206" s="52" t="s">
        <v>1114</v>
      </c>
      <c r="F206" s="56" t="s">
        <v>230</v>
      </c>
      <c r="G206" s="77" t="s">
        <v>824</v>
      </c>
      <c r="H206" s="78"/>
    </row>
    <row r="207" spans="3:14" outlineLevel="4" x14ac:dyDescent="0.35">
      <c r="C207" s="69">
        <v>52100010</v>
      </c>
      <c r="D207" s="52" t="s">
        <v>98</v>
      </c>
      <c r="E207" s="52" t="s">
        <v>1115</v>
      </c>
      <c r="F207" s="56" t="s">
        <v>283</v>
      </c>
      <c r="G207" s="77" t="s">
        <v>824</v>
      </c>
      <c r="H207" s="78"/>
    </row>
    <row r="208" spans="3:14" outlineLevel="4" x14ac:dyDescent="0.35">
      <c r="C208" s="69">
        <v>52100020</v>
      </c>
      <c r="D208" s="52" t="s">
        <v>100</v>
      </c>
      <c r="E208" s="52" t="s">
        <v>1116</v>
      </c>
      <c r="F208" s="56" t="s">
        <v>283</v>
      </c>
      <c r="G208" s="77" t="s">
        <v>824</v>
      </c>
      <c r="H208" s="78"/>
    </row>
    <row r="209" spans="3:8" outlineLevel="4" x14ac:dyDescent="0.35">
      <c r="C209" s="69">
        <v>52100030</v>
      </c>
      <c r="D209" s="52" t="s">
        <v>101</v>
      </c>
      <c r="E209" s="52" t="s">
        <v>1117</v>
      </c>
      <c r="F209" s="56" t="s">
        <v>283</v>
      </c>
      <c r="G209" s="77" t="s">
        <v>824</v>
      </c>
      <c r="H209" s="78"/>
    </row>
    <row r="210" spans="3:8" outlineLevel="4" x14ac:dyDescent="0.35">
      <c r="C210" s="69">
        <v>52100040</v>
      </c>
      <c r="D210" s="52" t="s">
        <v>103</v>
      </c>
      <c r="E210" s="52" t="s">
        <v>1118</v>
      </c>
      <c r="F210" s="56" t="s">
        <v>283</v>
      </c>
      <c r="G210" s="77" t="s">
        <v>824</v>
      </c>
      <c r="H210" s="78"/>
    </row>
    <row r="211" spans="3:8" outlineLevel="4" x14ac:dyDescent="0.35">
      <c r="C211" s="69">
        <v>52100050</v>
      </c>
      <c r="D211" s="52" t="s">
        <v>105</v>
      </c>
      <c r="E211" s="52" t="s">
        <v>1119</v>
      </c>
      <c r="F211" s="56" t="s">
        <v>283</v>
      </c>
      <c r="G211" s="77" t="s">
        <v>824</v>
      </c>
      <c r="H211" s="78"/>
    </row>
    <row r="212" spans="3:8" ht="29" outlineLevel="4" x14ac:dyDescent="0.35">
      <c r="C212" s="69">
        <v>52200010</v>
      </c>
      <c r="D212" s="52" t="s">
        <v>106</v>
      </c>
      <c r="E212" s="52" t="s">
        <v>1120</v>
      </c>
      <c r="F212" s="56" t="s">
        <v>284</v>
      </c>
      <c r="G212" s="77" t="s">
        <v>824</v>
      </c>
      <c r="H212" s="78"/>
    </row>
    <row r="213" spans="3:8" ht="29" outlineLevel="4" x14ac:dyDescent="0.35">
      <c r="C213" s="69">
        <v>52200020</v>
      </c>
      <c r="D213" s="52" t="s">
        <v>108</v>
      </c>
      <c r="E213" s="52" t="s">
        <v>1121</v>
      </c>
      <c r="F213" s="56" t="s">
        <v>284</v>
      </c>
      <c r="G213" s="77" t="s">
        <v>824</v>
      </c>
      <c r="H213" s="78"/>
    </row>
    <row r="214" spans="3:8" ht="29" outlineLevel="4" x14ac:dyDescent="0.35">
      <c r="C214" s="69">
        <v>52300010</v>
      </c>
      <c r="D214" s="52" t="s">
        <v>110</v>
      </c>
      <c r="E214" s="52" t="s">
        <v>1122</v>
      </c>
      <c r="F214" s="56" t="s">
        <v>285</v>
      </c>
      <c r="G214" s="77" t="s">
        <v>824</v>
      </c>
      <c r="H214" s="78"/>
    </row>
    <row r="215" spans="3:8" ht="29" outlineLevel="4" x14ac:dyDescent="0.35">
      <c r="C215" s="69">
        <v>52300020</v>
      </c>
      <c r="D215" s="52" t="s">
        <v>112</v>
      </c>
      <c r="E215" s="52" t="s">
        <v>1123</v>
      </c>
      <c r="F215" s="56" t="s">
        <v>285</v>
      </c>
      <c r="G215" s="77" t="s">
        <v>824</v>
      </c>
      <c r="H215" s="78"/>
    </row>
    <row r="216" spans="3:8" ht="29" outlineLevel="4" x14ac:dyDescent="0.35">
      <c r="C216" s="69">
        <v>52400030</v>
      </c>
      <c r="D216" s="52" t="s">
        <v>114</v>
      </c>
      <c r="E216" s="52" t="s">
        <v>1124</v>
      </c>
      <c r="F216" s="56" t="s">
        <v>286</v>
      </c>
      <c r="G216" s="77" t="s">
        <v>824</v>
      </c>
      <c r="H216" s="78"/>
    </row>
    <row r="217" spans="3:8" outlineLevel="4" x14ac:dyDescent="0.35">
      <c r="C217" s="69">
        <v>52400040</v>
      </c>
      <c r="D217" s="52" t="s">
        <v>116</v>
      </c>
      <c r="E217" s="52" t="s">
        <v>1125</v>
      </c>
      <c r="F217" s="56" t="s">
        <v>286</v>
      </c>
      <c r="G217" s="77" t="s">
        <v>824</v>
      </c>
      <c r="H217" s="78"/>
    </row>
    <row r="218" spans="3:8" outlineLevel="4" x14ac:dyDescent="0.35">
      <c r="C218" s="69">
        <v>52400060</v>
      </c>
      <c r="D218" s="52" t="s">
        <v>258</v>
      </c>
      <c r="E218" s="52" t="s">
        <v>1126</v>
      </c>
      <c r="F218" s="56" t="s">
        <v>286</v>
      </c>
      <c r="G218" s="77" t="s">
        <v>824</v>
      </c>
      <c r="H218" s="78"/>
    </row>
    <row r="219" spans="3:8" outlineLevel="4" x14ac:dyDescent="0.35">
      <c r="C219" s="69">
        <v>52500010</v>
      </c>
      <c r="D219" s="52" t="s">
        <v>117</v>
      </c>
      <c r="E219" s="52" t="s">
        <v>1127</v>
      </c>
      <c r="F219" s="56" t="s">
        <v>117</v>
      </c>
      <c r="G219" s="77" t="s">
        <v>824</v>
      </c>
      <c r="H219" s="78"/>
    </row>
    <row r="220" spans="3:8" outlineLevel="4" x14ac:dyDescent="0.35">
      <c r="C220" s="69">
        <v>52600020</v>
      </c>
      <c r="D220" s="52" t="s">
        <v>120</v>
      </c>
      <c r="E220" s="52" t="s">
        <v>1128</v>
      </c>
      <c r="F220" s="56" t="s">
        <v>287</v>
      </c>
      <c r="G220" s="77" t="s">
        <v>824</v>
      </c>
      <c r="H220" s="78"/>
    </row>
    <row r="221" spans="3:8" outlineLevel="4" x14ac:dyDescent="0.35">
      <c r="C221" s="69">
        <v>52600030</v>
      </c>
      <c r="D221" s="52" t="s">
        <v>121</v>
      </c>
      <c r="E221" s="52" t="s">
        <v>1129</v>
      </c>
      <c r="F221" s="56" t="s">
        <v>287</v>
      </c>
      <c r="G221" s="77" t="s">
        <v>824</v>
      </c>
      <c r="H221" s="78"/>
    </row>
    <row r="222" spans="3:8" outlineLevel="4" x14ac:dyDescent="0.35">
      <c r="C222" s="69">
        <v>52900010</v>
      </c>
      <c r="D222" s="52" t="s">
        <v>122</v>
      </c>
      <c r="E222" s="52" t="s">
        <v>1130</v>
      </c>
      <c r="F222" s="56" t="s">
        <v>288</v>
      </c>
      <c r="G222" s="77" t="s">
        <v>824</v>
      </c>
      <c r="H222" s="78"/>
    </row>
    <row r="223" spans="3:8" outlineLevel="4" x14ac:dyDescent="0.35">
      <c r="C223" s="69">
        <v>52900020</v>
      </c>
      <c r="D223" s="52" t="s">
        <v>124</v>
      </c>
      <c r="E223" s="52" t="s">
        <v>1131</v>
      </c>
      <c r="F223" s="56" t="s">
        <v>288</v>
      </c>
      <c r="G223" s="77" t="s">
        <v>824</v>
      </c>
      <c r="H223" s="78"/>
    </row>
    <row r="224" spans="3:8" ht="29" outlineLevel="4" x14ac:dyDescent="0.35">
      <c r="C224" s="69">
        <v>53100010</v>
      </c>
      <c r="D224" s="52" t="s">
        <v>261</v>
      </c>
      <c r="E224" s="52" t="s">
        <v>1132</v>
      </c>
      <c r="F224" s="56" t="s">
        <v>261</v>
      </c>
      <c r="G224" s="77" t="s">
        <v>824</v>
      </c>
      <c r="H224" s="78"/>
    </row>
    <row r="225" spans="3:7" outlineLevel="4" x14ac:dyDescent="0.35">
      <c r="C225" s="72"/>
      <c r="D225" s="61"/>
      <c r="E225" s="62"/>
      <c r="F225" s="62"/>
      <c r="G225" s="62"/>
    </row>
    <row r="228" spans="3:7" x14ac:dyDescent="0.35">
      <c r="C228" s="38" t="s">
        <v>903</v>
      </c>
    </row>
    <row r="229" spans="3:7" x14ac:dyDescent="0.35">
      <c r="C229" s="18" t="s">
        <v>817</v>
      </c>
      <c r="D229" s="18" t="s">
        <v>818</v>
      </c>
      <c r="E229" s="40" t="s">
        <v>819</v>
      </c>
      <c r="F229" s="40" t="s">
        <v>820</v>
      </c>
      <c r="G229" s="40" t="s">
        <v>821</v>
      </c>
    </row>
    <row r="230" spans="3:7" x14ac:dyDescent="0.35">
      <c r="C230" s="69">
        <v>60100010</v>
      </c>
      <c r="D230" s="52" t="s">
        <v>43</v>
      </c>
      <c r="E230" s="52" t="s">
        <v>1133</v>
      </c>
      <c r="F230" s="70" t="s">
        <v>290</v>
      </c>
      <c r="G230" s="70" t="s">
        <v>34</v>
      </c>
    </row>
    <row r="231" spans="3:7" x14ac:dyDescent="0.35">
      <c r="C231" s="69">
        <v>60100020</v>
      </c>
      <c r="D231" s="52" t="s">
        <v>44</v>
      </c>
      <c r="E231" s="52" t="s">
        <v>1134</v>
      </c>
      <c r="F231" s="71" t="s">
        <v>290</v>
      </c>
      <c r="G231" s="71" t="s">
        <v>34</v>
      </c>
    </row>
    <row r="232" spans="3:7" x14ac:dyDescent="0.35">
      <c r="C232" s="69">
        <v>60100030</v>
      </c>
      <c r="D232" s="52" t="s">
        <v>45</v>
      </c>
      <c r="E232" s="52" t="s">
        <v>906</v>
      </c>
      <c r="F232" s="52" t="s">
        <v>290</v>
      </c>
      <c r="G232" s="71" t="s">
        <v>34</v>
      </c>
    </row>
    <row r="233" spans="3:7" x14ac:dyDescent="0.35">
      <c r="C233" s="69">
        <v>60100040</v>
      </c>
      <c r="D233" s="52" t="s">
        <v>46</v>
      </c>
      <c r="E233" s="52" t="s">
        <v>1135</v>
      </c>
      <c r="F233" s="52" t="s">
        <v>290</v>
      </c>
      <c r="G233" s="71" t="s">
        <v>34</v>
      </c>
    </row>
    <row r="234" spans="3:7" x14ac:dyDescent="0.35">
      <c r="C234" s="69">
        <v>60100050</v>
      </c>
      <c r="D234" s="52" t="s">
        <v>47</v>
      </c>
      <c r="E234" s="52" t="s">
        <v>1136</v>
      </c>
      <c r="F234" s="52" t="s">
        <v>290</v>
      </c>
      <c r="G234" s="71" t="s">
        <v>34</v>
      </c>
    </row>
    <row r="235" spans="3:7" x14ac:dyDescent="0.35">
      <c r="C235" s="69">
        <v>60100060</v>
      </c>
      <c r="D235" s="52" t="s">
        <v>48</v>
      </c>
      <c r="E235" s="52" t="s">
        <v>1137</v>
      </c>
      <c r="F235" s="52" t="s">
        <v>290</v>
      </c>
      <c r="G235" s="71" t="s">
        <v>34</v>
      </c>
    </row>
    <row r="236" spans="3:7" x14ac:dyDescent="0.35">
      <c r="C236" s="69">
        <v>60100070</v>
      </c>
      <c r="D236" s="52" t="s">
        <v>49</v>
      </c>
      <c r="E236" s="52" t="s">
        <v>1138</v>
      </c>
      <c r="F236" s="52" t="s">
        <v>290</v>
      </c>
      <c r="G236" s="71" t="s">
        <v>34</v>
      </c>
    </row>
    <row r="237" spans="3:7" x14ac:dyDescent="0.35">
      <c r="C237" s="69">
        <v>60100080</v>
      </c>
      <c r="D237" s="52" t="s">
        <v>50</v>
      </c>
      <c r="E237" s="52" t="s">
        <v>1139</v>
      </c>
      <c r="F237" s="56" t="s">
        <v>290</v>
      </c>
      <c r="G237" s="71" t="s">
        <v>34</v>
      </c>
    </row>
    <row r="238" spans="3:7" x14ac:dyDescent="0.35">
      <c r="C238" s="69">
        <v>60100090</v>
      </c>
      <c r="D238" s="52" t="s">
        <v>51</v>
      </c>
      <c r="E238" s="52" t="s">
        <v>1140</v>
      </c>
      <c r="F238" s="56" t="s">
        <v>290</v>
      </c>
      <c r="G238" s="71" t="s">
        <v>34</v>
      </c>
    </row>
    <row r="239" spans="3:7" x14ac:dyDescent="0.35">
      <c r="C239" s="69">
        <v>60100100</v>
      </c>
      <c r="D239" s="52" t="s">
        <v>52</v>
      </c>
      <c r="E239" s="52" t="s">
        <v>1141</v>
      </c>
      <c r="F239" s="56" t="s">
        <v>290</v>
      </c>
      <c r="G239" s="71" t="s">
        <v>34</v>
      </c>
    </row>
    <row r="240" spans="3:7" x14ac:dyDescent="0.35">
      <c r="C240" s="69">
        <v>60100110</v>
      </c>
      <c r="D240" s="52" t="s">
        <v>53</v>
      </c>
      <c r="E240" s="52" t="s">
        <v>1142</v>
      </c>
      <c r="F240" s="56" t="s">
        <v>290</v>
      </c>
      <c r="G240" s="71" t="s">
        <v>34</v>
      </c>
    </row>
    <row r="241" spans="1:7" x14ac:dyDescent="0.35">
      <c r="C241" s="69">
        <v>60100120</v>
      </c>
      <c r="D241" s="52" t="s">
        <v>915</v>
      </c>
      <c r="E241" s="52" t="s">
        <v>1135</v>
      </c>
      <c r="F241" s="56" t="s">
        <v>290</v>
      </c>
      <c r="G241" s="71" t="s">
        <v>34</v>
      </c>
    </row>
    <row r="242" spans="1:7" x14ac:dyDescent="0.35">
      <c r="C242" s="69">
        <v>60100990</v>
      </c>
      <c r="D242" s="52" t="s">
        <v>54</v>
      </c>
      <c r="E242" s="52" t="s">
        <v>1143</v>
      </c>
      <c r="F242" s="56" t="s">
        <v>290</v>
      </c>
      <c r="G242" s="71" t="s">
        <v>34</v>
      </c>
    </row>
    <row r="243" spans="1:7" x14ac:dyDescent="0.35">
      <c r="C243" s="69">
        <v>60200010</v>
      </c>
      <c r="D243" s="52" t="s">
        <v>55</v>
      </c>
      <c r="E243" s="52" t="s">
        <v>1144</v>
      </c>
      <c r="F243" s="56" t="s">
        <v>270</v>
      </c>
      <c r="G243" s="71" t="s">
        <v>34</v>
      </c>
    </row>
    <row r="244" spans="1:7" x14ac:dyDescent="0.35">
      <c r="C244" s="69">
        <v>60300010</v>
      </c>
      <c r="D244" s="52" t="s">
        <v>57</v>
      </c>
      <c r="E244" s="52" t="s">
        <v>1145</v>
      </c>
      <c r="F244" s="56" t="s">
        <v>291</v>
      </c>
      <c r="G244" s="71" t="s">
        <v>34</v>
      </c>
    </row>
    <row r="245" spans="1:7" x14ac:dyDescent="0.35">
      <c r="C245" s="69">
        <v>60600010</v>
      </c>
      <c r="D245" s="52" t="s">
        <v>231</v>
      </c>
      <c r="E245" s="52" t="s">
        <v>1146</v>
      </c>
      <c r="F245" s="56" t="s">
        <v>272</v>
      </c>
      <c r="G245" s="70" t="s">
        <v>59</v>
      </c>
    </row>
    <row r="246" spans="1:7" x14ac:dyDescent="0.35">
      <c r="C246" s="69">
        <v>60600020</v>
      </c>
      <c r="D246" s="52" t="s">
        <v>232</v>
      </c>
      <c r="E246" s="52" t="s">
        <v>1147</v>
      </c>
      <c r="F246" s="56" t="s">
        <v>272</v>
      </c>
      <c r="G246" s="70" t="s">
        <v>59</v>
      </c>
    </row>
    <row r="247" spans="1:7" ht="14.25" customHeight="1" x14ac:dyDescent="0.35">
      <c r="C247" s="69">
        <v>60600030</v>
      </c>
      <c r="D247" s="52" t="s">
        <v>233</v>
      </c>
      <c r="E247" s="52" t="s">
        <v>1148</v>
      </c>
      <c r="F247" s="56" t="s">
        <v>272</v>
      </c>
      <c r="G247" s="70" t="s">
        <v>59</v>
      </c>
    </row>
    <row r="248" spans="1:7" ht="14.25" customHeight="1" x14ac:dyDescent="0.35">
      <c r="C248" s="69">
        <v>60600050</v>
      </c>
      <c r="D248" s="52" t="s">
        <v>61</v>
      </c>
      <c r="E248" s="52" t="s">
        <v>1287</v>
      </c>
      <c r="F248" s="56" t="s">
        <v>272</v>
      </c>
      <c r="G248" s="70" t="s">
        <v>59</v>
      </c>
    </row>
    <row r="249" spans="1:7" ht="14.25" customHeight="1" x14ac:dyDescent="0.35">
      <c r="A249" s="52"/>
      <c r="B249" s="52"/>
      <c r="C249" s="69">
        <v>60700010</v>
      </c>
      <c r="D249" s="52" t="s">
        <v>62</v>
      </c>
      <c r="E249" s="52" t="s">
        <v>1288</v>
      </c>
      <c r="F249" s="56" t="s">
        <v>62</v>
      </c>
      <c r="G249" s="70" t="s">
        <v>59</v>
      </c>
    </row>
    <row r="250" spans="1:7" x14ac:dyDescent="0.35">
      <c r="C250" s="69">
        <v>60800010</v>
      </c>
      <c r="D250" s="52" t="s">
        <v>63</v>
      </c>
      <c r="E250" s="52" t="s">
        <v>1149</v>
      </c>
      <c r="F250" s="56" t="s">
        <v>292</v>
      </c>
      <c r="G250" s="70" t="s">
        <v>824</v>
      </c>
    </row>
    <row r="251" spans="1:7" x14ac:dyDescent="0.35">
      <c r="C251" s="69">
        <v>60800020</v>
      </c>
      <c r="D251" s="52" t="s">
        <v>64</v>
      </c>
      <c r="E251" s="52" t="s">
        <v>1150</v>
      </c>
      <c r="F251" s="56" t="s">
        <v>292</v>
      </c>
      <c r="G251" s="70" t="s">
        <v>824</v>
      </c>
    </row>
    <row r="252" spans="1:7" x14ac:dyDescent="0.35">
      <c r="C252" s="69">
        <v>60800030</v>
      </c>
      <c r="D252" s="52" t="s">
        <v>65</v>
      </c>
      <c r="E252" s="52" t="s">
        <v>1151</v>
      </c>
      <c r="F252" s="56" t="s">
        <v>292</v>
      </c>
      <c r="G252" s="70" t="s">
        <v>824</v>
      </c>
    </row>
    <row r="253" spans="1:7" x14ac:dyDescent="0.35">
      <c r="C253" s="69">
        <v>60800040</v>
      </c>
      <c r="D253" s="52" t="s">
        <v>66</v>
      </c>
      <c r="E253" s="52" t="s">
        <v>1152</v>
      </c>
      <c r="F253" s="56" t="s">
        <v>292</v>
      </c>
      <c r="G253" s="70" t="s">
        <v>824</v>
      </c>
    </row>
    <row r="254" spans="1:7" x14ac:dyDescent="0.35">
      <c r="C254" s="69">
        <v>60800050</v>
      </c>
      <c r="D254" s="52" t="s">
        <v>67</v>
      </c>
      <c r="E254" s="52" t="s">
        <v>1153</v>
      </c>
      <c r="F254" s="56" t="s">
        <v>292</v>
      </c>
      <c r="G254" s="70" t="s">
        <v>824</v>
      </c>
    </row>
    <row r="255" spans="1:7" x14ac:dyDescent="0.35">
      <c r="C255" s="69">
        <v>60800060</v>
      </c>
      <c r="D255" s="52" t="s">
        <v>68</v>
      </c>
      <c r="E255" s="52" t="s">
        <v>1085</v>
      </c>
      <c r="F255" s="56" t="s">
        <v>292</v>
      </c>
      <c r="G255" s="70" t="s">
        <v>824</v>
      </c>
    </row>
    <row r="256" spans="1:7" x14ac:dyDescent="0.35">
      <c r="C256" s="69">
        <v>60800070</v>
      </c>
      <c r="D256" s="52" t="s">
        <v>69</v>
      </c>
      <c r="E256" s="52" t="s">
        <v>1086</v>
      </c>
      <c r="F256" s="56" t="s">
        <v>292</v>
      </c>
      <c r="G256" s="70" t="s">
        <v>824</v>
      </c>
    </row>
    <row r="257" spans="3:7" x14ac:dyDescent="0.35">
      <c r="C257" s="69">
        <v>60800080</v>
      </c>
      <c r="D257" s="52" t="s">
        <v>70</v>
      </c>
      <c r="E257" s="52" t="s">
        <v>1154</v>
      </c>
      <c r="F257" s="56" t="s">
        <v>292</v>
      </c>
      <c r="G257" s="70" t="s">
        <v>824</v>
      </c>
    </row>
    <row r="258" spans="3:7" x14ac:dyDescent="0.35">
      <c r="C258" s="69">
        <v>61100010</v>
      </c>
      <c r="D258" s="52" t="s">
        <v>235</v>
      </c>
      <c r="E258" s="52" t="s">
        <v>1087</v>
      </c>
      <c r="F258" s="56" t="s">
        <v>274</v>
      </c>
      <c r="G258" s="70" t="s">
        <v>619</v>
      </c>
    </row>
    <row r="259" spans="3:7" x14ac:dyDescent="0.35">
      <c r="C259" s="69">
        <v>61200010</v>
      </c>
      <c r="D259" s="52" t="s">
        <v>236</v>
      </c>
      <c r="E259" s="52" t="s">
        <v>1155</v>
      </c>
      <c r="F259" s="56" t="s">
        <v>275</v>
      </c>
      <c r="G259" s="70" t="s">
        <v>922</v>
      </c>
    </row>
    <row r="260" spans="3:7" x14ac:dyDescent="0.35">
      <c r="C260" s="69">
        <v>61200020</v>
      </c>
      <c r="D260" s="52" t="s">
        <v>237</v>
      </c>
      <c r="E260" s="52" t="s">
        <v>1156</v>
      </c>
      <c r="F260" s="56" t="s">
        <v>275</v>
      </c>
      <c r="G260" s="70" t="s">
        <v>922</v>
      </c>
    </row>
    <row r="261" spans="3:7" x14ac:dyDescent="0.35">
      <c r="C261" s="69">
        <v>61200030</v>
      </c>
      <c r="D261" s="52" t="s">
        <v>238</v>
      </c>
      <c r="E261" s="52" t="s">
        <v>1157</v>
      </c>
      <c r="F261" s="56" t="s">
        <v>275</v>
      </c>
      <c r="G261" s="70" t="s">
        <v>922</v>
      </c>
    </row>
    <row r="262" spans="3:7" x14ac:dyDescent="0.35">
      <c r="C262" s="69">
        <v>61200040</v>
      </c>
      <c r="D262" s="52" t="s">
        <v>239</v>
      </c>
      <c r="E262" s="52" t="s">
        <v>1158</v>
      </c>
      <c r="F262" s="56" t="s">
        <v>275</v>
      </c>
      <c r="G262" s="70" t="s">
        <v>922</v>
      </c>
    </row>
    <row r="263" spans="3:7" x14ac:dyDescent="0.35">
      <c r="C263" s="69">
        <v>61200050</v>
      </c>
      <c r="D263" s="52" t="s">
        <v>240</v>
      </c>
      <c r="E263" s="52" t="s">
        <v>1159</v>
      </c>
      <c r="F263" s="56" t="s">
        <v>275</v>
      </c>
      <c r="G263" s="70" t="s">
        <v>922</v>
      </c>
    </row>
    <row r="264" spans="3:7" x14ac:dyDescent="0.35">
      <c r="C264" s="69">
        <v>61200060</v>
      </c>
      <c r="D264" s="52" t="s">
        <v>241</v>
      </c>
      <c r="E264" s="52" t="s">
        <v>1160</v>
      </c>
      <c r="F264" s="56" t="s">
        <v>275</v>
      </c>
      <c r="G264" s="70" t="s">
        <v>922</v>
      </c>
    </row>
    <row r="265" spans="3:7" x14ac:dyDescent="0.35">
      <c r="C265" s="69">
        <v>61200070</v>
      </c>
      <c r="D265" s="52" t="s">
        <v>242</v>
      </c>
      <c r="E265" s="52" t="s">
        <v>1161</v>
      </c>
      <c r="F265" s="56" t="s">
        <v>275</v>
      </c>
      <c r="G265" s="70" t="s">
        <v>922</v>
      </c>
    </row>
    <row r="266" spans="3:7" x14ac:dyDescent="0.35">
      <c r="C266" s="69">
        <v>61200080</v>
      </c>
      <c r="D266" s="52" t="s">
        <v>243</v>
      </c>
      <c r="E266" s="52" t="s">
        <v>1162</v>
      </c>
      <c r="F266" s="56" t="s">
        <v>275</v>
      </c>
      <c r="G266" s="70" t="s">
        <v>922</v>
      </c>
    </row>
    <row r="267" spans="3:7" x14ac:dyDescent="0.35">
      <c r="C267" s="69">
        <v>61200090</v>
      </c>
      <c r="D267" s="52" t="s">
        <v>244</v>
      </c>
      <c r="E267" s="52" t="s">
        <v>1163</v>
      </c>
      <c r="F267" s="56" t="s">
        <v>275</v>
      </c>
      <c r="G267" s="70" t="s">
        <v>922</v>
      </c>
    </row>
    <row r="268" spans="3:7" x14ac:dyDescent="0.35">
      <c r="C268" s="69">
        <v>61300010</v>
      </c>
      <c r="D268" s="52" t="s">
        <v>245</v>
      </c>
      <c r="E268" s="52" t="s">
        <v>1164</v>
      </c>
      <c r="F268" s="56" t="s">
        <v>276</v>
      </c>
      <c r="G268" s="70" t="s">
        <v>922</v>
      </c>
    </row>
    <row r="269" spans="3:7" x14ac:dyDescent="0.35">
      <c r="C269" s="69">
        <v>61300020</v>
      </c>
      <c r="D269" s="52" t="s">
        <v>246</v>
      </c>
      <c r="E269" s="52" t="s">
        <v>1165</v>
      </c>
      <c r="F269" s="56" t="s">
        <v>276</v>
      </c>
      <c r="G269" s="70" t="s">
        <v>922</v>
      </c>
    </row>
    <row r="270" spans="3:7" x14ac:dyDescent="0.35">
      <c r="C270" s="69">
        <v>61300030</v>
      </c>
      <c r="D270" s="52" t="s">
        <v>247</v>
      </c>
      <c r="E270" s="52" t="s">
        <v>1166</v>
      </c>
      <c r="F270" s="56" t="s">
        <v>276</v>
      </c>
      <c r="G270" s="70" t="s">
        <v>922</v>
      </c>
    </row>
    <row r="271" spans="3:7" x14ac:dyDescent="0.35">
      <c r="C271" s="69">
        <v>61300040</v>
      </c>
      <c r="D271" s="52" t="s">
        <v>248</v>
      </c>
      <c r="E271" s="52" t="s">
        <v>1167</v>
      </c>
      <c r="F271" s="56" t="s">
        <v>276</v>
      </c>
      <c r="G271" s="70" t="s">
        <v>922</v>
      </c>
    </row>
    <row r="272" spans="3:7" x14ac:dyDescent="0.35">
      <c r="C272" s="69">
        <v>61300050</v>
      </c>
      <c r="D272" s="52" t="s">
        <v>249</v>
      </c>
      <c r="E272" s="52" t="s">
        <v>1168</v>
      </c>
      <c r="F272" s="56" t="s">
        <v>276</v>
      </c>
      <c r="G272" s="70" t="s">
        <v>922</v>
      </c>
    </row>
    <row r="273" spans="3:7" x14ac:dyDescent="0.35">
      <c r="C273" s="69">
        <v>61300060</v>
      </c>
      <c r="D273" s="52" t="s">
        <v>250</v>
      </c>
      <c r="E273" s="52" t="s">
        <v>1169</v>
      </c>
      <c r="F273" s="56" t="s">
        <v>276</v>
      </c>
      <c r="G273" s="70" t="s">
        <v>922</v>
      </c>
    </row>
    <row r="274" spans="3:7" x14ac:dyDescent="0.35">
      <c r="C274" s="69">
        <v>61300070</v>
      </c>
      <c r="D274" s="52" t="s">
        <v>251</v>
      </c>
      <c r="E274" s="52" t="s">
        <v>1170</v>
      </c>
      <c r="F274" s="56" t="s">
        <v>276</v>
      </c>
      <c r="G274" s="70" t="s">
        <v>922</v>
      </c>
    </row>
    <row r="275" spans="3:7" x14ac:dyDescent="0.35">
      <c r="C275" s="69">
        <v>61300080</v>
      </c>
      <c r="D275" s="52" t="s">
        <v>252</v>
      </c>
      <c r="E275" s="52" t="s">
        <v>1171</v>
      </c>
      <c r="F275" s="56" t="s">
        <v>276</v>
      </c>
      <c r="G275" s="70" t="s">
        <v>922</v>
      </c>
    </row>
    <row r="276" spans="3:7" x14ac:dyDescent="0.35">
      <c r="C276" s="69">
        <v>61300090</v>
      </c>
      <c r="D276" s="52" t="s">
        <v>253</v>
      </c>
      <c r="E276" s="52" t="s">
        <v>1172</v>
      </c>
      <c r="F276" s="56" t="s">
        <v>276</v>
      </c>
      <c r="G276" s="70" t="s">
        <v>922</v>
      </c>
    </row>
    <row r="277" spans="3:7" x14ac:dyDescent="0.35">
      <c r="C277" s="69">
        <v>61400010</v>
      </c>
      <c r="D277" s="52" t="s">
        <v>71</v>
      </c>
      <c r="E277" s="52" t="s">
        <v>1173</v>
      </c>
      <c r="F277" s="56" t="s">
        <v>277</v>
      </c>
      <c r="G277" s="70" t="s">
        <v>941</v>
      </c>
    </row>
    <row r="278" spans="3:7" x14ac:dyDescent="0.35">
      <c r="C278" s="69">
        <v>61400020</v>
      </c>
      <c r="D278" s="52" t="s">
        <v>254</v>
      </c>
      <c r="E278" s="52" t="s">
        <v>1174</v>
      </c>
      <c r="F278" s="56" t="s">
        <v>277</v>
      </c>
      <c r="G278" s="70" t="s">
        <v>941</v>
      </c>
    </row>
    <row r="279" spans="3:7" x14ac:dyDescent="0.35">
      <c r="C279" s="69">
        <v>61400030</v>
      </c>
      <c r="D279" s="52" t="s">
        <v>255</v>
      </c>
      <c r="E279" s="52" t="s">
        <v>1175</v>
      </c>
      <c r="F279" s="56" t="s">
        <v>277</v>
      </c>
      <c r="G279" s="70" t="s">
        <v>941</v>
      </c>
    </row>
    <row r="280" spans="3:7" x14ac:dyDescent="0.35">
      <c r="C280" s="69">
        <v>61500010</v>
      </c>
      <c r="D280" s="52" t="s">
        <v>72</v>
      </c>
      <c r="E280" s="52" t="s">
        <v>1093</v>
      </c>
      <c r="F280" s="56" t="s">
        <v>278</v>
      </c>
      <c r="G280" s="70" t="s">
        <v>824</v>
      </c>
    </row>
    <row r="281" spans="3:7" x14ac:dyDescent="0.35">
      <c r="C281" s="69">
        <v>61500020</v>
      </c>
      <c r="D281" s="52" t="s">
        <v>73</v>
      </c>
      <c r="E281" s="52" t="s">
        <v>1093</v>
      </c>
      <c r="F281" s="56" t="s">
        <v>278</v>
      </c>
      <c r="G281" s="70" t="s">
        <v>34</v>
      </c>
    </row>
    <row r="282" spans="3:7" ht="29" x14ac:dyDescent="0.35">
      <c r="C282" s="69">
        <v>61600010</v>
      </c>
      <c r="D282" s="52" t="s">
        <v>944</v>
      </c>
      <c r="E282" s="52" t="s">
        <v>1176</v>
      </c>
      <c r="F282" s="56" t="s">
        <v>279</v>
      </c>
      <c r="G282" s="70" t="s">
        <v>59</v>
      </c>
    </row>
    <row r="283" spans="3:7" x14ac:dyDescent="0.35">
      <c r="C283" s="69">
        <v>61600030</v>
      </c>
      <c r="D283" s="52" t="s">
        <v>76</v>
      </c>
      <c r="E283" s="52" t="s">
        <v>1177</v>
      </c>
      <c r="F283" s="56" t="s">
        <v>279</v>
      </c>
      <c r="G283" s="70" t="s">
        <v>59</v>
      </c>
    </row>
    <row r="284" spans="3:7" ht="43.5" x14ac:dyDescent="0.35">
      <c r="C284" s="69">
        <v>61600040</v>
      </c>
      <c r="D284" s="52" t="s">
        <v>77</v>
      </c>
      <c r="E284" s="52" t="s">
        <v>1178</v>
      </c>
      <c r="F284" s="56" t="s">
        <v>279</v>
      </c>
      <c r="G284" s="70" t="s">
        <v>90</v>
      </c>
    </row>
    <row r="285" spans="3:7" ht="31.5" customHeight="1" x14ac:dyDescent="0.35">
      <c r="C285" s="69">
        <v>61600050</v>
      </c>
      <c r="D285" s="52" t="s">
        <v>948</v>
      </c>
      <c r="E285" s="52" t="s">
        <v>1179</v>
      </c>
      <c r="F285" s="56" t="s">
        <v>279</v>
      </c>
      <c r="G285" s="70" t="s">
        <v>90</v>
      </c>
    </row>
    <row r="286" spans="3:7" ht="29" x14ac:dyDescent="0.35">
      <c r="C286" s="69">
        <v>61600060</v>
      </c>
      <c r="D286" s="52" t="s">
        <v>950</v>
      </c>
      <c r="E286" s="52" t="s">
        <v>1180</v>
      </c>
      <c r="F286" s="56" t="s">
        <v>279</v>
      </c>
      <c r="G286" s="70" t="s">
        <v>34</v>
      </c>
    </row>
    <row r="287" spans="3:7" x14ac:dyDescent="0.35">
      <c r="C287" s="69">
        <v>61600070</v>
      </c>
      <c r="D287" s="52" t="s">
        <v>78</v>
      </c>
      <c r="E287" s="52" t="s">
        <v>1289</v>
      </c>
      <c r="F287" s="56" t="s">
        <v>279</v>
      </c>
      <c r="G287" s="70" t="s">
        <v>824</v>
      </c>
    </row>
    <row r="288" spans="3:7" x14ac:dyDescent="0.35">
      <c r="C288" s="69">
        <v>61700010</v>
      </c>
      <c r="D288" s="52" t="s">
        <v>79</v>
      </c>
      <c r="E288" s="52" t="s">
        <v>1100</v>
      </c>
      <c r="F288" s="56" t="s">
        <v>280</v>
      </c>
      <c r="G288" s="70" t="s">
        <v>952</v>
      </c>
    </row>
    <row r="289" spans="3:7" x14ac:dyDescent="0.35">
      <c r="C289" s="69">
        <v>61700030</v>
      </c>
      <c r="D289" s="52" t="s">
        <v>80</v>
      </c>
      <c r="E289" s="52" t="s">
        <v>1101</v>
      </c>
      <c r="F289" s="56" t="s">
        <v>280</v>
      </c>
      <c r="G289" s="70" t="s">
        <v>59</v>
      </c>
    </row>
    <row r="290" spans="3:7" x14ac:dyDescent="0.35">
      <c r="C290" s="69">
        <v>61700040</v>
      </c>
      <c r="D290" s="52" t="s">
        <v>81</v>
      </c>
      <c r="E290" s="52" t="s">
        <v>1102</v>
      </c>
      <c r="F290" s="56" t="s">
        <v>280</v>
      </c>
      <c r="G290" s="70" t="s">
        <v>59</v>
      </c>
    </row>
    <row r="291" spans="3:7" x14ac:dyDescent="0.35">
      <c r="C291" s="69">
        <v>61700050</v>
      </c>
      <c r="D291" s="52" t="s">
        <v>82</v>
      </c>
      <c r="E291" s="52" t="s">
        <v>1103</v>
      </c>
      <c r="F291" s="56" t="s">
        <v>280</v>
      </c>
      <c r="G291" s="70" t="s">
        <v>59</v>
      </c>
    </row>
    <row r="292" spans="3:7" x14ac:dyDescent="0.35">
      <c r="C292" s="69">
        <v>61700060</v>
      </c>
      <c r="D292" s="52" t="s">
        <v>953</v>
      </c>
      <c r="E292" s="52" t="s">
        <v>1104</v>
      </c>
      <c r="F292" s="56" t="s">
        <v>280</v>
      </c>
      <c r="G292" s="70" t="s">
        <v>59</v>
      </c>
    </row>
    <row r="293" spans="3:7" x14ac:dyDescent="0.35">
      <c r="C293" s="69">
        <v>61700070</v>
      </c>
      <c r="D293" s="52" t="s">
        <v>84</v>
      </c>
      <c r="E293" s="52" t="s">
        <v>1105</v>
      </c>
      <c r="F293" s="56" t="s">
        <v>280</v>
      </c>
      <c r="G293" s="70" t="s">
        <v>824</v>
      </c>
    </row>
    <row r="294" spans="3:7" x14ac:dyDescent="0.35">
      <c r="C294" s="69">
        <v>61800010</v>
      </c>
      <c r="D294" s="52" t="s">
        <v>85</v>
      </c>
      <c r="E294" s="52" t="s">
        <v>1106</v>
      </c>
      <c r="F294" s="56" t="s">
        <v>293</v>
      </c>
      <c r="G294" s="70" t="s">
        <v>824</v>
      </c>
    </row>
    <row r="295" spans="3:7" x14ac:dyDescent="0.35">
      <c r="C295" s="69">
        <v>61800020</v>
      </c>
      <c r="D295" s="69" t="s">
        <v>86</v>
      </c>
      <c r="E295" s="69" t="s">
        <v>1181</v>
      </c>
      <c r="F295" s="69" t="s">
        <v>293</v>
      </c>
      <c r="G295" s="70" t="s">
        <v>824</v>
      </c>
    </row>
    <row r="296" spans="3:7" x14ac:dyDescent="0.35">
      <c r="C296" s="69">
        <v>61800030</v>
      </c>
      <c r="D296" s="69" t="s">
        <v>87</v>
      </c>
      <c r="E296" s="69" t="s">
        <v>1108</v>
      </c>
      <c r="F296" s="69" t="s">
        <v>293</v>
      </c>
      <c r="G296" s="70" t="s">
        <v>824</v>
      </c>
    </row>
    <row r="297" spans="3:7" x14ac:dyDescent="0.35">
      <c r="C297" s="69">
        <v>61800090</v>
      </c>
      <c r="D297" s="69" t="s">
        <v>88</v>
      </c>
      <c r="E297" s="69" t="s">
        <v>1182</v>
      </c>
      <c r="F297" s="69" t="s">
        <v>293</v>
      </c>
      <c r="G297" s="70" t="s">
        <v>824</v>
      </c>
    </row>
    <row r="298" spans="3:7" x14ac:dyDescent="0.35">
      <c r="C298" s="69">
        <v>61900010</v>
      </c>
      <c r="D298" s="69" t="s">
        <v>89</v>
      </c>
      <c r="E298" s="69" t="s">
        <v>1183</v>
      </c>
      <c r="F298" s="69" t="s">
        <v>230</v>
      </c>
      <c r="G298" s="70" t="s">
        <v>824</v>
      </c>
    </row>
    <row r="299" spans="3:7" x14ac:dyDescent="0.35">
      <c r="C299" s="69">
        <v>61900020</v>
      </c>
      <c r="D299" s="69" t="s">
        <v>91</v>
      </c>
      <c r="E299" s="69" t="s">
        <v>1184</v>
      </c>
      <c r="F299" s="69" t="s">
        <v>230</v>
      </c>
      <c r="G299" s="70" t="s">
        <v>824</v>
      </c>
    </row>
    <row r="300" spans="3:7" x14ac:dyDescent="0.35">
      <c r="C300" s="69">
        <v>61900030</v>
      </c>
      <c r="D300" s="69" t="s">
        <v>92</v>
      </c>
      <c r="E300" s="69" t="s">
        <v>1185</v>
      </c>
      <c r="F300" s="69" t="s">
        <v>230</v>
      </c>
      <c r="G300" s="70" t="s">
        <v>824</v>
      </c>
    </row>
    <row r="301" spans="3:7" x14ac:dyDescent="0.35">
      <c r="C301" s="69">
        <v>61900040</v>
      </c>
      <c r="D301" s="69" t="s">
        <v>93</v>
      </c>
      <c r="E301" s="69" t="s">
        <v>1186</v>
      </c>
      <c r="F301" s="69" t="s">
        <v>230</v>
      </c>
      <c r="G301" s="70" t="s">
        <v>824</v>
      </c>
    </row>
    <row r="302" spans="3:7" x14ac:dyDescent="0.35">
      <c r="C302" s="69">
        <v>61900090</v>
      </c>
      <c r="D302" s="69" t="s">
        <v>94</v>
      </c>
      <c r="E302" s="69" t="s">
        <v>1187</v>
      </c>
      <c r="F302" s="69" t="s">
        <v>230</v>
      </c>
      <c r="G302" s="70" t="s">
        <v>824</v>
      </c>
    </row>
    <row r="303" spans="3:7" x14ac:dyDescent="0.35">
      <c r="C303" s="69">
        <v>62000010</v>
      </c>
      <c r="D303" s="69" t="s">
        <v>95</v>
      </c>
      <c r="E303" s="69" t="s">
        <v>1188</v>
      </c>
      <c r="F303" s="69" t="s">
        <v>282</v>
      </c>
      <c r="G303" s="69" t="s">
        <v>128</v>
      </c>
    </row>
    <row r="304" spans="3:7" x14ac:dyDescent="0.35">
      <c r="C304" s="69">
        <v>62000020</v>
      </c>
      <c r="D304" s="69" t="s">
        <v>96</v>
      </c>
      <c r="E304" s="69" t="s">
        <v>1189</v>
      </c>
      <c r="F304" s="69" t="s">
        <v>282</v>
      </c>
      <c r="G304" s="69" t="s">
        <v>214</v>
      </c>
    </row>
    <row r="305" spans="3:7" x14ac:dyDescent="0.35">
      <c r="C305" s="69">
        <v>62000040</v>
      </c>
      <c r="D305" s="69" t="s">
        <v>97</v>
      </c>
      <c r="E305" s="69" t="s">
        <v>1190</v>
      </c>
      <c r="F305" s="69" t="s">
        <v>282</v>
      </c>
      <c r="G305" s="70" t="s">
        <v>824</v>
      </c>
    </row>
    <row r="306" spans="3:7" x14ac:dyDescent="0.35">
      <c r="C306" s="69">
        <v>62100010</v>
      </c>
      <c r="D306" s="69" t="s">
        <v>98</v>
      </c>
      <c r="E306" s="69" t="s">
        <v>1191</v>
      </c>
      <c r="F306" s="69" t="s">
        <v>283</v>
      </c>
      <c r="G306" s="69" t="s">
        <v>90</v>
      </c>
    </row>
    <row r="307" spans="3:7" x14ac:dyDescent="0.35">
      <c r="C307" s="69">
        <v>62100020</v>
      </c>
      <c r="D307" s="69" t="s">
        <v>100</v>
      </c>
      <c r="E307" s="69" t="s">
        <v>1192</v>
      </c>
      <c r="F307" s="69" t="s">
        <v>283</v>
      </c>
      <c r="G307" s="69" t="s">
        <v>90</v>
      </c>
    </row>
    <row r="308" spans="3:7" x14ac:dyDescent="0.35">
      <c r="C308" s="69">
        <v>62100030</v>
      </c>
      <c r="D308" s="69" t="s">
        <v>101</v>
      </c>
      <c r="E308" s="69" t="s">
        <v>1193</v>
      </c>
      <c r="F308" s="69" t="s">
        <v>283</v>
      </c>
      <c r="G308" s="69" t="s">
        <v>90</v>
      </c>
    </row>
    <row r="309" spans="3:7" x14ac:dyDescent="0.35">
      <c r="C309" s="69">
        <v>62100040</v>
      </c>
      <c r="D309" s="69" t="s">
        <v>103</v>
      </c>
      <c r="E309" s="69" t="s">
        <v>1194</v>
      </c>
      <c r="F309" s="69" t="s">
        <v>283</v>
      </c>
      <c r="G309" s="69" t="s">
        <v>90</v>
      </c>
    </row>
    <row r="310" spans="3:7" x14ac:dyDescent="0.35">
      <c r="C310" s="69">
        <v>62100050</v>
      </c>
      <c r="D310" s="69" t="s">
        <v>257</v>
      </c>
      <c r="E310" s="69" t="s">
        <v>1195</v>
      </c>
      <c r="F310" s="69" t="s">
        <v>283</v>
      </c>
      <c r="G310" s="69" t="s">
        <v>90</v>
      </c>
    </row>
    <row r="311" spans="3:7" x14ac:dyDescent="0.35">
      <c r="C311" s="69">
        <v>62200010</v>
      </c>
      <c r="D311" s="69" t="s">
        <v>106</v>
      </c>
      <c r="E311" s="69" t="s">
        <v>1196</v>
      </c>
      <c r="F311" s="69" t="s">
        <v>284</v>
      </c>
      <c r="G311" s="70" t="s">
        <v>824</v>
      </c>
    </row>
    <row r="312" spans="3:7" ht="29" x14ac:dyDescent="0.35">
      <c r="C312" s="69">
        <v>62200020</v>
      </c>
      <c r="D312" s="69" t="s">
        <v>108</v>
      </c>
      <c r="E312" s="69" t="s">
        <v>1197</v>
      </c>
      <c r="F312" s="69" t="s">
        <v>284</v>
      </c>
      <c r="G312" s="70" t="s">
        <v>824</v>
      </c>
    </row>
    <row r="313" spans="3:7" x14ac:dyDescent="0.35">
      <c r="C313" s="69">
        <v>62300010</v>
      </c>
      <c r="D313" s="69" t="s">
        <v>110</v>
      </c>
      <c r="E313" s="69" t="s">
        <v>1198</v>
      </c>
      <c r="F313" s="69" t="s">
        <v>285</v>
      </c>
      <c r="G313" s="70" t="s">
        <v>824</v>
      </c>
    </row>
    <row r="314" spans="3:7" ht="29" x14ac:dyDescent="0.35">
      <c r="C314" s="69">
        <v>62300020</v>
      </c>
      <c r="D314" s="69" t="s">
        <v>112</v>
      </c>
      <c r="E314" s="69" t="s">
        <v>1199</v>
      </c>
      <c r="F314" s="69" t="s">
        <v>285</v>
      </c>
      <c r="G314" s="70" t="s">
        <v>824</v>
      </c>
    </row>
    <row r="315" spans="3:7" ht="29" x14ac:dyDescent="0.35">
      <c r="C315" s="69">
        <v>62400030</v>
      </c>
      <c r="D315" s="69" t="s">
        <v>114</v>
      </c>
      <c r="E315" s="69" t="s">
        <v>1200</v>
      </c>
      <c r="F315" s="69" t="s">
        <v>286</v>
      </c>
      <c r="G315" s="70" t="s">
        <v>824</v>
      </c>
    </row>
    <row r="316" spans="3:7" ht="29" x14ac:dyDescent="0.35">
      <c r="C316" s="69">
        <v>62400040</v>
      </c>
      <c r="D316" s="69" t="s">
        <v>116</v>
      </c>
      <c r="E316" s="69" t="s">
        <v>1201</v>
      </c>
      <c r="F316" s="69" t="s">
        <v>286</v>
      </c>
      <c r="G316" s="70" t="s">
        <v>824</v>
      </c>
    </row>
    <row r="317" spans="3:7" x14ac:dyDescent="0.35">
      <c r="C317" s="69">
        <v>62400060</v>
      </c>
      <c r="D317" s="69" t="s">
        <v>258</v>
      </c>
      <c r="E317" s="69" t="s">
        <v>1202</v>
      </c>
      <c r="F317" s="69" t="s">
        <v>286</v>
      </c>
      <c r="G317" s="69" t="s">
        <v>128</v>
      </c>
    </row>
    <row r="318" spans="3:7" x14ac:dyDescent="0.35">
      <c r="C318" s="69">
        <v>62500010</v>
      </c>
      <c r="D318" s="69" t="s">
        <v>117</v>
      </c>
      <c r="E318" s="69" t="s">
        <v>1203</v>
      </c>
      <c r="F318" s="69" t="s">
        <v>117</v>
      </c>
      <c r="G318" s="69" t="s">
        <v>16</v>
      </c>
    </row>
    <row r="319" spans="3:7" ht="29" x14ac:dyDescent="0.35">
      <c r="C319" s="69">
        <v>62600010</v>
      </c>
      <c r="D319" s="69" t="s">
        <v>119</v>
      </c>
      <c r="E319" s="69" t="s">
        <v>1204</v>
      </c>
      <c r="F319" s="69" t="s">
        <v>287</v>
      </c>
      <c r="G319" s="70" t="s">
        <v>824</v>
      </c>
    </row>
    <row r="320" spans="3:7" x14ac:dyDescent="0.35">
      <c r="C320" s="69">
        <v>62600020</v>
      </c>
      <c r="D320" s="69" t="s">
        <v>120</v>
      </c>
      <c r="E320" s="69" t="s">
        <v>1205</v>
      </c>
      <c r="F320" s="69" t="s">
        <v>287</v>
      </c>
      <c r="G320" s="70" t="s">
        <v>824</v>
      </c>
    </row>
    <row r="321" spans="1:7" x14ac:dyDescent="0.35">
      <c r="C321" s="69">
        <v>62600030</v>
      </c>
      <c r="D321" s="69" t="s">
        <v>121</v>
      </c>
      <c r="E321" s="69" t="s">
        <v>1206</v>
      </c>
      <c r="F321" s="69" t="s">
        <v>287</v>
      </c>
      <c r="G321" s="70" t="s">
        <v>824</v>
      </c>
    </row>
    <row r="322" spans="1:7" x14ac:dyDescent="0.35">
      <c r="C322" s="69">
        <v>62700010</v>
      </c>
      <c r="D322" s="69" t="s">
        <v>259</v>
      </c>
      <c r="E322" s="69" t="s">
        <v>1207</v>
      </c>
      <c r="F322" s="69" t="s">
        <v>259</v>
      </c>
      <c r="G322" s="69" t="s">
        <v>128</v>
      </c>
    </row>
    <row r="323" spans="1:7" x14ac:dyDescent="0.35">
      <c r="C323" s="69">
        <v>62800010</v>
      </c>
      <c r="D323" s="69" t="s">
        <v>260</v>
      </c>
      <c r="E323" s="69" t="s">
        <v>1208</v>
      </c>
      <c r="F323" s="69" t="s">
        <v>260</v>
      </c>
      <c r="G323" s="69" t="s">
        <v>130</v>
      </c>
    </row>
    <row r="324" spans="1:7" x14ac:dyDescent="0.35">
      <c r="C324" s="69">
        <v>62900010</v>
      </c>
      <c r="D324" s="69" t="s">
        <v>122</v>
      </c>
      <c r="E324" s="69" t="s">
        <v>487</v>
      </c>
      <c r="F324" s="69" t="s">
        <v>288</v>
      </c>
      <c r="G324" s="70" t="s">
        <v>824</v>
      </c>
    </row>
    <row r="325" spans="1:7" x14ac:dyDescent="0.35">
      <c r="C325" s="69">
        <v>62900020</v>
      </c>
      <c r="D325" s="69" t="s">
        <v>124</v>
      </c>
      <c r="E325" s="69" t="s">
        <v>1209</v>
      </c>
      <c r="F325" s="69" t="s">
        <v>288</v>
      </c>
      <c r="G325" s="70" t="s">
        <v>824</v>
      </c>
    </row>
    <row r="326" spans="1:7" x14ac:dyDescent="0.35">
      <c r="C326" s="69">
        <v>63300010</v>
      </c>
      <c r="D326" s="69" t="s">
        <v>967</v>
      </c>
      <c r="E326" s="69" t="s">
        <v>1210</v>
      </c>
      <c r="F326" s="69" t="s">
        <v>230</v>
      </c>
      <c r="G326" s="69"/>
    </row>
    <row r="327" spans="1:7" x14ac:dyDescent="0.35">
      <c r="C327" s="292">
        <v>63900010</v>
      </c>
      <c r="D327" s="61" t="s">
        <v>126</v>
      </c>
      <c r="E327" s="62" t="s">
        <v>1273</v>
      </c>
      <c r="F327" s="62" t="s">
        <v>296</v>
      </c>
      <c r="G327" s="62" t="s">
        <v>824</v>
      </c>
    </row>
    <row r="330" spans="1:7" s="281" customFormat="1" ht="16" x14ac:dyDescent="0.4">
      <c r="A330" s="314"/>
      <c r="B330" s="314"/>
      <c r="C330" s="282" t="s">
        <v>423</v>
      </c>
      <c r="D330" s="273" t="s">
        <v>323</v>
      </c>
    </row>
    <row r="331" spans="1:7" outlineLevel="1" x14ac:dyDescent="0.35"/>
    <row r="332" spans="1:7" outlineLevel="1" x14ac:dyDescent="0.35">
      <c r="C332" s="4" t="s">
        <v>1047</v>
      </c>
    </row>
    <row r="333" spans="1:7" outlineLevel="1" x14ac:dyDescent="0.35"/>
    <row r="334" spans="1:7" outlineLevel="1" x14ac:dyDescent="0.35">
      <c r="B334" s="38" t="s">
        <v>807</v>
      </c>
      <c r="C334" s="38" t="s">
        <v>488</v>
      </c>
    </row>
    <row r="335" spans="1:7" outlineLevel="1" x14ac:dyDescent="0.35">
      <c r="C335" s="4" t="s">
        <v>1048</v>
      </c>
    </row>
    <row r="336" spans="1:7" outlineLevel="1" x14ac:dyDescent="0.35"/>
    <row r="337" spans="2:5" outlineLevel="1" x14ac:dyDescent="0.35">
      <c r="B337" s="38" t="s">
        <v>808</v>
      </c>
      <c r="C337" s="38" t="s">
        <v>543</v>
      </c>
    </row>
    <row r="338" spans="2:5" outlineLevel="1" x14ac:dyDescent="0.35">
      <c r="C338" s="4" t="s">
        <v>1049</v>
      </c>
    </row>
    <row r="339" spans="2:5" outlineLevel="1" x14ac:dyDescent="0.35">
      <c r="C339" s="4" t="s">
        <v>1050</v>
      </c>
    </row>
    <row r="340" spans="2:5" outlineLevel="1" x14ac:dyDescent="0.35"/>
    <row r="341" spans="2:5" s="38" customFormat="1" outlineLevel="1" x14ac:dyDescent="0.35">
      <c r="B341" s="38" t="s">
        <v>809</v>
      </c>
      <c r="C341" s="38" t="s">
        <v>1051</v>
      </c>
    </row>
    <row r="342" spans="2:5" outlineLevel="1" x14ac:dyDescent="0.35">
      <c r="C342" s="4" t="s">
        <v>1052</v>
      </c>
    </row>
    <row r="343" spans="2:5" outlineLevel="1" x14ac:dyDescent="0.35">
      <c r="C343" s="4" t="s">
        <v>1050</v>
      </c>
    </row>
    <row r="344" spans="2:5" outlineLevel="1" x14ac:dyDescent="0.35"/>
    <row r="345" spans="2:5" ht="101.5" outlineLevel="1" x14ac:dyDescent="0.35">
      <c r="C345" s="67" t="s">
        <v>326</v>
      </c>
      <c r="D345" s="68" t="s">
        <v>1053</v>
      </c>
    </row>
    <row r="346" spans="2:5" ht="15.75" customHeight="1" outlineLevel="1" x14ac:dyDescent="0.35">
      <c r="C346" s="67" t="s">
        <v>265</v>
      </c>
      <c r="D346" s="68" t="s">
        <v>1054</v>
      </c>
    </row>
    <row r="347" spans="2:5" ht="29" outlineLevel="1" x14ac:dyDescent="0.35">
      <c r="C347" s="67" t="s">
        <v>32</v>
      </c>
      <c r="D347" s="68" t="s">
        <v>1262</v>
      </c>
      <c r="E347" s="285" t="s">
        <v>1259</v>
      </c>
    </row>
    <row r="348" spans="2:5" ht="45.75" customHeight="1" outlineLevel="1" x14ac:dyDescent="0.35">
      <c r="C348" s="67" t="s">
        <v>264</v>
      </c>
      <c r="D348" s="68" t="s">
        <v>1055</v>
      </c>
    </row>
    <row r="349" spans="2:5" ht="43.5" outlineLevel="1" x14ac:dyDescent="0.35">
      <c r="C349" s="67" t="s">
        <v>227</v>
      </c>
      <c r="D349" s="68" t="s">
        <v>1056</v>
      </c>
    </row>
  </sheetData>
  <sheetProtection formatRows="0"/>
  <hyperlinks>
    <hyperlink ref="D28" location="Cover!A1" display="Cover" xr:uid="{E718450F-7B8E-440F-942A-A7F51B3F57F0}"/>
    <hyperlink ref="D125" location="'Budget Opex Detail'!A1" display="Budget Opex Detail" xr:uid="{B2350699-035A-4CAD-967D-3EDC20A83AFB}"/>
    <hyperlink ref="D330" location="'Activity Master Opex'!A1" display="Activity Master" xr:uid="{6D5F0B7C-9E12-449F-ACA5-BB1DC5A0A916}"/>
    <hyperlink ref="D77" location="'Budget Capex Detail'!A1" display="Budget Capex Detail" xr:uid="{D63575F1-F4A8-4958-8097-FA5A0EB3FA8E}"/>
    <hyperlink ref="C80" location="'Asset determination'!A1" display="'Asset determination" xr:uid="{75B8A09D-6DBE-4E74-8D16-7C20F2C10EEF}"/>
    <hyperlink ref="E347" location="'Master Data'!A1" display="Master Data" xr:uid="{44CD2D5A-AF26-4AB1-AB31-649CA4FF2EDC}"/>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1F0F2-BEBB-4B6A-9862-BF4B0C6B1012}">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9.1796875" defaultRowHeight="14.5" outlineLevelRow="1" x14ac:dyDescent="0.35"/>
  <cols>
    <col min="1" max="1" width="5.26953125" style="85" customWidth="1"/>
    <col min="2" max="2" width="14.81640625" style="85" customWidth="1"/>
    <col min="3" max="3" width="10.7265625" style="85" bestFit="1" customWidth="1"/>
    <col min="4" max="16" width="9.1796875" style="85"/>
    <col min="17" max="17" width="29.453125" style="85" bestFit="1" customWidth="1"/>
    <col min="18" max="18" width="40.54296875" style="85" bestFit="1" customWidth="1"/>
    <col min="19" max="19" width="10.7265625" style="85" bestFit="1" customWidth="1"/>
    <col min="20" max="16384" width="9.1796875" style="85"/>
  </cols>
  <sheetData>
    <row r="1" spans="2:4" outlineLevel="1" x14ac:dyDescent="0.35"/>
    <row r="2" spans="2:4" outlineLevel="1" x14ac:dyDescent="0.35">
      <c r="B2" s="97"/>
      <c r="C2" s="98"/>
    </row>
    <row r="3" spans="2:4" outlineLevel="1" x14ac:dyDescent="0.35"/>
    <row r="4" spans="2:4" outlineLevel="1" x14ac:dyDescent="0.35"/>
    <row r="5" spans="2:4" outlineLevel="1" x14ac:dyDescent="0.35"/>
    <row r="6" spans="2:4" outlineLevel="1" x14ac:dyDescent="0.35"/>
    <row r="7" spans="2:4" outlineLevel="1" x14ac:dyDescent="0.35"/>
    <row r="8" spans="2:4" outlineLevel="1" x14ac:dyDescent="0.35"/>
    <row r="9" spans="2:4" outlineLevel="1" x14ac:dyDescent="0.35"/>
    <row r="10" spans="2:4" outlineLevel="1" x14ac:dyDescent="0.35">
      <c r="C10" s="99"/>
    </row>
    <row r="15" spans="2:4" x14ac:dyDescent="0.35">
      <c r="D15" s="85" t="s">
        <v>1211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M64"/>
  <sheetViews>
    <sheetView showGridLines="0" zoomScale="80" zoomScaleNormal="80" workbookViewId="0">
      <selection activeCell="M18" sqref="M18"/>
    </sheetView>
  </sheetViews>
  <sheetFormatPr defaultColWidth="9.1796875" defaultRowHeight="14.5" x14ac:dyDescent="0.35"/>
  <cols>
    <col min="1" max="1" width="4" style="85" customWidth="1"/>
    <col min="2" max="2" width="22.26953125" style="85" customWidth="1"/>
    <col min="3" max="3" width="1.1796875" style="85" customWidth="1"/>
    <col min="4" max="4" width="16.1796875" style="85" customWidth="1"/>
    <col min="5" max="5" width="6.54296875" style="85" customWidth="1"/>
    <col min="6" max="6" width="31.1796875" style="85" customWidth="1"/>
    <col min="7" max="7" width="5.81640625" style="85" customWidth="1"/>
    <col min="8" max="8" width="4.1796875" style="85" hidden="1" customWidth="1"/>
    <col min="9" max="9" width="19.54296875" style="85" customWidth="1"/>
    <col min="10" max="10" width="18.54296875" style="85" customWidth="1"/>
    <col min="11" max="11" width="27.7265625" style="85" customWidth="1"/>
    <col min="12" max="13" width="18.54296875" style="85" customWidth="1"/>
    <col min="14" max="16384" width="9.1796875" style="85"/>
  </cols>
  <sheetData>
    <row r="1" spans="1:12" x14ac:dyDescent="0.35">
      <c r="A1" s="4"/>
      <c r="B1" s="4"/>
      <c r="C1" s="4"/>
      <c r="D1" s="4"/>
      <c r="E1" s="4"/>
      <c r="F1" s="4"/>
      <c r="G1" s="4"/>
      <c r="H1" s="4"/>
    </row>
    <row r="2" spans="1:12" ht="31" x14ac:dyDescent="0.7">
      <c r="A2" s="4"/>
      <c r="B2" s="4"/>
      <c r="C2" s="253" t="s">
        <v>132</v>
      </c>
      <c r="D2" s="38"/>
      <c r="E2" s="4"/>
      <c r="F2" s="4"/>
      <c r="G2" s="4"/>
      <c r="H2" s="4"/>
    </row>
    <row r="3" spans="1:12" x14ac:dyDescent="0.35">
      <c r="A3" s="4"/>
      <c r="B3" s="4"/>
      <c r="C3" s="4"/>
      <c r="D3" s="4"/>
      <c r="E3" s="4"/>
      <c r="F3" s="4"/>
      <c r="G3" s="4"/>
      <c r="H3" s="4"/>
    </row>
    <row r="4" spans="1:12" x14ac:dyDescent="0.35">
      <c r="A4" s="4"/>
      <c r="B4" s="4"/>
      <c r="C4" s="4"/>
      <c r="D4" s="4"/>
      <c r="E4" s="4"/>
      <c r="F4" s="4"/>
      <c r="G4" s="4"/>
      <c r="H4" s="4"/>
    </row>
    <row r="5" spans="1:12" x14ac:dyDescent="0.35">
      <c r="A5" s="4"/>
      <c r="B5" s="4"/>
      <c r="C5" s="4"/>
      <c r="D5" s="4"/>
      <c r="E5" s="4"/>
      <c r="F5" s="4"/>
      <c r="G5" s="4"/>
      <c r="H5" s="4"/>
    </row>
    <row r="6" spans="1:12" x14ac:dyDescent="0.35">
      <c r="A6" s="4"/>
      <c r="B6" s="38" t="s">
        <v>9</v>
      </c>
      <c r="C6" s="38" t="s">
        <v>133</v>
      </c>
      <c r="D6" s="100">
        <v>2026</v>
      </c>
      <c r="E6" s="4"/>
      <c r="F6" s="4"/>
      <c r="G6" s="4"/>
      <c r="H6" s="4"/>
    </row>
    <row r="7" spans="1:12" x14ac:dyDescent="0.35">
      <c r="A7" s="4"/>
      <c r="B7" s="38" t="s">
        <v>11</v>
      </c>
      <c r="C7" s="38" t="s">
        <v>133</v>
      </c>
      <c r="D7" s="100" t="s">
        <v>13</v>
      </c>
      <c r="E7" s="4"/>
      <c r="F7" s="4"/>
      <c r="G7" s="4"/>
      <c r="H7" s="4"/>
    </row>
    <row r="8" spans="1:12" x14ac:dyDescent="0.35">
      <c r="A8" s="4"/>
      <c r="B8" s="38" t="s">
        <v>127</v>
      </c>
      <c r="C8" s="38" t="s">
        <v>133</v>
      </c>
      <c r="D8" s="100" t="s">
        <v>512</v>
      </c>
      <c r="E8" s="4"/>
      <c r="F8" s="4"/>
      <c r="G8" s="4"/>
      <c r="H8" s="4"/>
    </row>
    <row r="9" spans="1:12" x14ac:dyDescent="0.35">
      <c r="A9" s="101"/>
      <c r="B9" s="38" t="s">
        <v>12</v>
      </c>
      <c r="C9" s="38" t="s">
        <v>133</v>
      </c>
      <c r="D9" s="100" t="s">
        <v>512</v>
      </c>
      <c r="E9" s="4"/>
      <c r="F9" s="4"/>
      <c r="G9" s="4"/>
      <c r="H9" s="4"/>
    </row>
    <row r="10" spans="1:12" x14ac:dyDescent="0.35">
      <c r="A10" s="102"/>
      <c r="B10" s="102"/>
      <c r="C10" s="102"/>
      <c r="D10" s="102"/>
      <c r="E10" s="102"/>
      <c r="F10" s="102"/>
      <c r="G10" s="102"/>
      <c r="H10" s="102"/>
    </row>
    <row r="11" spans="1:12" x14ac:dyDescent="0.35">
      <c r="A11" s="102"/>
      <c r="B11" s="102"/>
      <c r="C11" s="102"/>
      <c r="D11" s="102"/>
      <c r="E11" s="102"/>
      <c r="F11" s="102"/>
      <c r="G11" s="102"/>
      <c r="H11" s="102"/>
    </row>
    <row r="12" spans="1:12" s="102" customFormat="1" ht="14.25" customHeight="1" x14ac:dyDescent="0.35">
      <c r="B12" s="103"/>
      <c r="C12" s="103"/>
      <c r="D12" s="103"/>
      <c r="E12" s="103"/>
      <c r="F12" s="103"/>
      <c r="G12" s="103"/>
      <c r="H12" s="103"/>
    </row>
    <row r="13" spans="1:12" s="102" customFormat="1" ht="14.25" customHeight="1" x14ac:dyDescent="0.35">
      <c r="B13" s="340" t="s">
        <v>441</v>
      </c>
      <c r="C13" s="341"/>
      <c r="D13" s="341"/>
      <c r="E13" s="341"/>
      <c r="F13" s="341"/>
      <c r="G13" s="342"/>
      <c r="H13" s="104"/>
      <c r="I13" s="104"/>
      <c r="J13" s="104"/>
      <c r="K13" s="104"/>
      <c r="L13" s="104"/>
    </row>
    <row r="14" spans="1:12" s="102" customFormat="1" ht="14.25" customHeight="1" x14ac:dyDescent="0.35">
      <c r="B14" s="318" t="s">
        <v>483</v>
      </c>
      <c r="C14" s="318"/>
      <c r="D14" s="318"/>
      <c r="E14" s="318" t="s">
        <v>485</v>
      </c>
      <c r="F14" s="318"/>
      <c r="G14" s="318"/>
      <c r="H14" s="105"/>
      <c r="I14" s="105"/>
      <c r="J14" s="105"/>
      <c r="K14" s="105"/>
      <c r="L14" s="105"/>
    </row>
    <row r="15" spans="1:12" s="102" customFormat="1" ht="14.25" customHeight="1" x14ac:dyDescent="0.35">
      <c r="B15" s="319"/>
      <c r="C15" s="320"/>
      <c r="D15" s="321"/>
      <c r="E15" s="319"/>
      <c r="F15" s="320"/>
      <c r="G15" s="321"/>
      <c r="H15" s="105"/>
      <c r="I15" s="105"/>
      <c r="J15" s="105"/>
      <c r="K15" s="105"/>
      <c r="L15" s="105"/>
    </row>
    <row r="16" spans="1:12" s="102" customFormat="1" ht="14.25" customHeight="1" x14ac:dyDescent="0.35">
      <c r="B16" s="319"/>
      <c r="C16" s="320"/>
      <c r="D16" s="321"/>
      <c r="E16" s="319"/>
      <c r="F16" s="320"/>
      <c r="G16" s="321"/>
      <c r="H16" s="107"/>
      <c r="I16" s="107"/>
      <c r="J16" s="107"/>
      <c r="K16" s="107"/>
      <c r="L16" s="106"/>
    </row>
    <row r="17" spans="2:13" s="102" customFormat="1" ht="14.25" customHeight="1" x14ac:dyDescent="0.35">
      <c r="B17" s="319"/>
      <c r="C17" s="320"/>
      <c r="D17" s="321"/>
      <c r="E17" s="319"/>
      <c r="F17" s="320"/>
      <c r="G17" s="321"/>
      <c r="H17" s="107"/>
      <c r="I17" s="107"/>
      <c r="J17" s="107"/>
      <c r="K17" s="107"/>
      <c r="L17" s="106"/>
    </row>
    <row r="18" spans="2:13" s="102" customFormat="1" ht="14.25" customHeight="1" x14ac:dyDescent="0.35">
      <c r="B18" s="322" t="s">
        <v>481</v>
      </c>
      <c r="C18" s="323"/>
      <c r="D18" s="324"/>
      <c r="E18" s="322" t="s">
        <v>439</v>
      </c>
      <c r="F18" s="323"/>
      <c r="G18" s="324"/>
      <c r="H18" s="107"/>
      <c r="I18" s="107"/>
      <c r="J18" s="107"/>
      <c r="K18" s="107"/>
      <c r="L18" s="106"/>
    </row>
    <row r="19" spans="2:13" s="102" customFormat="1" ht="14.25" customHeight="1" x14ac:dyDescent="0.35">
      <c r="B19" s="108"/>
      <c r="C19" s="108"/>
      <c r="D19" s="108"/>
      <c r="E19" s="109"/>
      <c r="F19" s="109"/>
      <c r="G19" s="108"/>
      <c r="H19" s="110"/>
      <c r="I19" s="110"/>
      <c r="J19" s="110"/>
      <c r="K19" s="110"/>
      <c r="L19" s="109"/>
    </row>
    <row r="20" spans="2:13" s="102" customFormat="1" ht="14.25" customHeight="1" x14ac:dyDescent="0.35">
      <c r="G20" s="103"/>
      <c r="H20" s="103"/>
      <c r="I20" s="103"/>
      <c r="J20" s="103"/>
    </row>
    <row r="21" spans="2:13" s="102" customFormat="1" ht="14.25" customHeight="1" x14ac:dyDescent="0.35">
      <c r="G21" s="103"/>
      <c r="H21" s="103"/>
      <c r="I21" s="103"/>
      <c r="J21" s="103"/>
    </row>
    <row r="22" spans="2:13" s="102" customFormat="1" ht="14.25" customHeight="1" x14ac:dyDescent="0.35">
      <c r="G22" s="103"/>
      <c r="H22" s="103"/>
      <c r="I22" s="103"/>
      <c r="J22" s="103"/>
    </row>
    <row r="23" spans="2:13" s="102" customFormat="1" ht="15" customHeight="1" x14ac:dyDescent="0.35">
      <c r="H23" s="111"/>
      <c r="I23" s="112"/>
    </row>
    <row r="24" spans="2:13" s="102" customFormat="1" ht="15" customHeight="1" x14ac:dyDescent="0.35">
      <c r="B24" s="337" t="s">
        <v>329</v>
      </c>
      <c r="C24" s="338"/>
      <c r="D24" s="338"/>
      <c r="E24" s="338"/>
      <c r="F24" s="338"/>
      <c r="G24" s="338"/>
      <c r="H24" s="338"/>
      <c r="I24" s="338"/>
      <c r="J24" s="338"/>
      <c r="K24" s="338"/>
      <c r="L24" s="339"/>
      <c r="M24" s="111"/>
    </row>
    <row r="25" spans="2:13" s="102" customFormat="1" ht="32.25" customHeight="1" x14ac:dyDescent="0.35">
      <c r="B25" s="327" t="s">
        <v>574</v>
      </c>
      <c r="C25" s="328"/>
      <c r="D25" s="329" t="s">
        <v>511</v>
      </c>
      <c r="E25" s="329"/>
      <c r="F25" s="329" t="s">
        <v>484</v>
      </c>
      <c r="G25" s="329"/>
      <c r="H25" s="113"/>
      <c r="I25" s="330" t="s">
        <v>485</v>
      </c>
      <c r="J25" s="331"/>
      <c r="K25" s="330" t="s">
        <v>486</v>
      </c>
      <c r="L25" s="331"/>
      <c r="M25" s="111"/>
    </row>
    <row r="26" spans="2:13" s="102" customFormat="1" ht="15" customHeight="1" x14ac:dyDescent="0.35">
      <c r="B26" s="114"/>
      <c r="C26" s="115"/>
      <c r="D26" s="116"/>
      <c r="E26" s="117"/>
      <c r="F26" s="116"/>
      <c r="G26" s="117"/>
      <c r="H26" s="117"/>
      <c r="I26" s="115"/>
      <c r="J26" s="118"/>
      <c r="K26" s="115"/>
      <c r="L26" s="118"/>
      <c r="M26" s="111"/>
    </row>
    <row r="27" spans="2:13" s="102" customFormat="1" ht="15" customHeight="1" x14ac:dyDescent="0.35">
      <c r="B27" s="119"/>
      <c r="C27" s="103"/>
      <c r="D27" s="120"/>
      <c r="E27" s="121"/>
      <c r="F27" s="120"/>
      <c r="G27" s="121"/>
      <c r="H27" s="121"/>
      <c r="I27" s="103"/>
      <c r="J27" s="122"/>
      <c r="K27" s="103"/>
      <c r="L27" s="122"/>
      <c r="M27" s="111"/>
    </row>
    <row r="28" spans="2:13" s="102" customFormat="1" ht="15" customHeight="1" x14ac:dyDescent="0.35">
      <c r="B28" s="119"/>
      <c r="C28" s="103"/>
      <c r="D28" s="120"/>
      <c r="E28" s="121"/>
      <c r="F28" s="120"/>
      <c r="G28" s="121"/>
      <c r="H28" s="121"/>
      <c r="I28" s="103"/>
      <c r="J28" s="122"/>
      <c r="K28" s="103"/>
      <c r="L28" s="122"/>
      <c r="M28" s="111"/>
    </row>
    <row r="29" spans="2:13" s="102" customFormat="1" ht="15" customHeight="1" x14ac:dyDescent="0.35">
      <c r="B29" s="332" t="s">
        <v>437</v>
      </c>
      <c r="C29" s="333"/>
      <c r="D29" s="334" t="s">
        <v>438</v>
      </c>
      <c r="E29" s="335"/>
      <c r="F29" s="336" t="s">
        <v>330</v>
      </c>
      <c r="G29" s="336"/>
      <c r="H29" s="123"/>
      <c r="I29" s="325" t="s">
        <v>439</v>
      </c>
      <c r="J29" s="326"/>
      <c r="K29" s="325" t="s">
        <v>440</v>
      </c>
      <c r="L29" s="326"/>
      <c r="M29" s="111"/>
    </row>
    <row r="30" spans="2:13" s="102" customFormat="1" ht="15" customHeight="1" x14ac:dyDescent="0.35"/>
    <row r="31" spans="2:13" s="124" customFormat="1" x14ac:dyDescent="0.35"/>
    <row r="32" spans="2:13" s="124" customFormat="1" x14ac:dyDescent="0.35"/>
    <row r="33" s="124" customFormat="1" x14ac:dyDescent="0.35"/>
    <row r="34" s="124" customFormat="1" x14ac:dyDescent="0.35"/>
    <row r="35" s="124" customFormat="1" x14ac:dyDescent="0.35"/>
    <row r="36" s="124" customFormat="1" x14ac:dyDescent="0.35"/>
    <row r="37" s="124" customFormat="1" x14ac:dyDescent="0.35"/>
    <row r="38" s="124" customFormat="1" x14ac:dyDescent="0.35"/>
    <row r="39" s="124" customFormat="1" x14ac:dyDescent="0.35"/>
    <row r="40" s="124" customFormat="1" x14ac:dyDescent="0.35"/>
    <row r="41" s="124" customFormat="1" x14ac:dyDescent="0.35"/>
    <row r="42" s="124" customFormat="1" x14ac:dyDescent="0.35"/>
    <row r="43" s="124" customFormat="1" x14ac:dyDescent="0.35"/>
    <row r="44" s="124" customFormat="1" x14ac:dyDescent="0.35"/>
    <row r="45" s="124" customFormat="1" x14ac:dyDescent="0.35"/>
    <row r="46" s="124" customFormat="1" x14ac:dyDescent="0.35"/>
    <row r="47" s="124" customFormat="1" x14ac:dyDescent="0.35"/>
    <row r="48" s="124" customFormat="1" x14ac:dyDescent="0.35"/>
    <row r="49" s="124" customFormat="1" x14ac:dyDescent="0.35"/>
    <row r="50" s="124" customFormat="1" x14ac:dyDescent="0.35"/>
    <row r="51" s="124" customFormat="1" x14ac:dyDescent="0.35"/>
    <row r="52" s="124" customFormat="1" x14ac:dyDescent="0.35"/>
    <row r="53" s="124" customFormat="1" x14ac:dyDescent="0.35"/>
    <row r="54" s="124" customFormat="1" x14ac:dyDescent="0.35"/>
    <row r="55" s="124" customFormat="1" x14ac:dyDescent="0.35"/>
    <row r="56" s="124" customFormat="1" x14ac:dyDescent="0.35"/>
    <row r="57" s="124" customFormat="1" x14ac:dyDescent="0.35"/>
    <row r="58" s="124" customFormat="1" x14ac:dyDescent="0.35"/>
    <row r="59" s="124" customFormat="1" x14ac:dyDescent="0.35"/>
    <row r="60" s="124" customFormat="1" x14ac:dyDescent="0.35"/>
    <row r="61" s="124" customFormat="1" x14ac:dyDescent="0.35"/>
    <row r="62" s="124" customFormat="1" x14ac:dyDescent="0.35"/>
    <row r="63" s="124" customFormat="1" x14ac:dyDescent="0.35"/>
    <row r="64" s="124" customFormat="1" x14ac:dyDescent="0.35"/>
  </sheetData>
  <mergeCells count="18">
    <mergeCell ref="B13:G13"/>
    <mergeCell ref="K25:L25"/>
    <mergeCell ref="B29:C29"/>
    <mergeCell ref="D29:E29"/>
    <mergeCell ref="F29:G29"/>
    <mergeCell ref="K29:L29"/>
    <mergeCell ref="I25:J25"/>
    <mergeCell ref="E14:G14"/>
    <mergeCell ref="E15:G17"/>
    <mergeCell ref="E18:G18"/>
    <mergeCell ref="I29:J29"/>
    <mergeCell ref="B25:C25"/>
    <mergeCell ref="D25:E25"/>
    <mergeCell ref="F25:G25"/>
    <mergeCell ref="B14:D14"/>
    <mergeCell ref="B15:D17"/>
    <mergeCell ref="B18:D18"/>
    <mergeCell ref="B24:L24"/>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6"/>
  <sheetViews>
    <sheetView showGridLines="0" zoomScale="80" zoomScaleNormal="80" workbookViewId="0">
      <pane xSplit="3" ySplit="3" topLeftCell="D4" activePane="bottomRight" state="frozen"/>
      <selection activeCell="E60" sqref="E60"/>
      <selection pane="topRight" activeCell="E60" sqref="E60"/>
      <selection pane="bottomLeft" activeCell="E60" sqref="E60"/>
      <selection pane="bottomRight" activeCell="F3" sqref="F3"/>
    </sheetView>
  </sheetViews>
  <sheetFormatPr defaultColWidth="13.7265625" defaultRowHeight="15" customHeight="1" outlineLevelCol="1" x14ac:dyDescent="0.35"/>
  <cols>
    <col min="1" max="1" width="15.453125" style="125" customWidth="1"/>
    <col min="2" max="2" width="11.453125" style="125" customWidth="1"/>
    <col min="3" max="3" width="29.1796875" style="126" customWidth="1"/>
    <col min="4" max="4" width="13.453125" style="126" customWidth="1"/>
    <col min="5" max="5" width="9.1796875" style="126" customWidth="1"/>
    <col min="6" max="6" width="30.54296875" style="127" customWidth="1"/>
    <col min="7" max="7" width="24.81640625" style="126" customWidth="1"/>
    <col min="8" max="8" width="13.453125" style="126" customWidth="1"/>
    <col min="9" max="9" width="13.54296875" style="126" customWidth="1"/>
    <col min="10" max="10" width="20.7265625" style="126" customWidth="1"/>
    <col min="11" max="11" width="16.26953125" style="160" customWidth="1"/>
    <col min="12" max="12" width="20.453125" style="126" customWidth="1"/>
    <col min="13" max="13" width="19.81640625" style="128" customWidth="1"/>
    <col min="14" max="14" width="13.453125" style="128" customWidth="1"/>
    <col min="15" max="15" width="14.453125" style="129" bestFit="1" customWidth="1" outlineLevel="1"/>
    <col min="16" max="16" width="14.81640625" style="129" bestFit="1" customWidth="1" outlineLevel="1"/>
    <col min="17" max="17" width="15" style="129" bestFit="1" customWidth="1" outlineLevel="1"/>
    <col min="18" max="18" width="14.54296875" style="129" bestFit="1" customWidth="1" outlineLevel="1"/>
    <col min="19" max="19" width="15.1796875" style="129" bestFit="1" customWidth="1" outlineLevel="1"/>
    <col min="20" max="20" width="14.453125" style="129" bestFit="1" customWidth="1" outlineLevel="1"/>
    <col min="21" max="21" width="13.81640625" style="129" bestFit="1" customWidth="1" outlineLevel="1"/>
    <col min="22" max="22" width="15" style="129" bestFit="1" customWidth="1" outlineLevel="1"/>
    <col min="23" max="24" width="14.81640625" style="129" bestFit="1" customWidth="1" outlineLevel="1"/>
    <col min="25" max="25" width="15" style="129" bestFit="1" customWidth="1" outlineLevel="1"/>
    <col min="26" max="26" width="15.1796875" style="129" bestFit="1" customWidth="1" outlineLevel="1"/>
    <col min="27" max="27" width="15.81640625" style="129" bestFit="1" customWidth="1"/>
    <col min="28" max="28" width="3.7265625" style="132" customWidth="1"/>
    <col min="29" max="29" width="14.453125" style="129" bestFit="1" customWidth="1" outlineLevel="1"/>
    <col min="30" max="30" width="14.81640625" style="129" bestFit="1" customWidth="1" outlineLevel="1"/>
    <col min="31" max="31" width="15" style="129" bestFit="1" customWidth="1" outlineLevel="1"/>
    <col min="32" max="32" width="14.54296875" style="129" bestFit="1" customWidth="1" outlineLevel="1"/>
    <col min="33" max="33" width="15.1796875" style="129" bestFit="1" customWidth="1" outlineLevel="1"/>
    <col min="34" max="34" width="14.453125" style="129" bestFit="1" customWidth="1" outlineLevel="1"/>
    <col min="35" max="35" width="13.81640625" style="129" bestFit="1" customWidth="1" outlineLevel="1"/>
    <col min="36" max="36" width="15" style="129" bestFit="1" customWidth="1" outlineLevel="1"/>
    <col min="37" max="38" width="14.81640625" style="129" bestFit="1" customWidth="1" outlineLevel="1"/>
    <col min="39" max="39" width="15" style="129" bestFit="1" customWidth="1" outlineLevel="1"/>
    <col min="40" max="40" width="15.1796875" style="129" bestFit="1" customWidth="1" outlineLevel="1"/>
    <col min="41" max="41" width="11.26953125" style="129" bestFit="1" customWidth="1"/>
    <col min="42" max="42" width="3.54296875" style="132" customWidth="1"/>
    <col min="43" max="43" width="14.453125" style="129" bestFit="1" customWidth="1" outlineLevel="1"/>
    <col min="44" max="44" width="14.81640625" style="129" bestFit="1" customWidth="1" outlineLevel="1"/>
    <col min="45" max="45" width="15" style="129" bestFit="1" customWidth="1" outlineLevel="1"/>
    <col min="46" max="46" width="14.54296875" style="129" bestFit="1" customWidth="1" outlineLevel="1"/>
    <col min="47" max="47" width="15.1796875" style="129" bestFit="1" customWidth="1" outlineLevel="1"/>
    <col min="48" max="48" width="14.453125" style="129" bestFit="1" customWidth="1" outlineLevel="1"/>
    <col min="49" max="49" width="13.81640625" style="129" bestFit="1" customWidth="1" outlineLevel="1"/>
    <col min="50" max="50" width="15" style="129" bestFit="1" customWidth="1" outlineLevel="1"/>
    <col min="51" max="52" width="14.81640625" style="129" bestFit="1" customWidth="1" outlineLevel="1"/>
    <col min="53" max="53" width="15" style="129" bestFit="1" customWidth="1" outlineLevel="1"/>
    <col min="54" max="54" width="15.1796875" style="129" bestFit="1" customWidth="1" outlineLevel="1"/>
    <col min="55" max="55" width="11.26953125" style="129" bestFit="1" customWidth="1"/>
    <col min="56" max="56" width="14.54296875" style="129" customWidth="1"/>
    <col min="57" max="57" width="14.453125" style="128" customWidth="1"/>
    <col min="58" max="59" width="26.453125" style="128" customWidth="1"/>
    <col min="60" max="60" width="27.81640625" style="128" customWidth="1"/>
    <col min="61" max="61" width="30.453125" style="128" customWidth="1"/>
    <col min="62" max="62" width="37.1796875" style="128" customWidth="1"/>
    <col min="63" max="64" width="31.453125" style="161" customWidth="1"/>
    <col min="65" max="65" width="35.7265625" style="161" customWidth="1"/>
    <col min="66" max="66" width="19.453125" style="128" customWidth="1"/>
    <col min="67" max="16384" width="13.7265625" style="128"/>
  </cols>
  <sheetData>
    <row r="1" spans="1:66" ht="15" customHeight="1" x14ac:dyDescent="0.35">
      <c r="K1" s="127"/>
      <c r="AB1" s="130"/>
      <c r="AC1" s="131"/>
      <c r="AD1" s="131"/>
      <c r="AQ1" s="131"/>
      <c r="AR1" s="131"/>
      <c r="BE1" s="133"/>
      <c r="BK1" s="134"/>
      <c r="BL1" s="134"/>
      <c r="BM1" s="134"/>
    </row>
    <row r="2" spans="1:66" ht="15" customHeight="1" x14ac:dyDescent="0.35">
      <c r="A2" s="162"/>
      <c r="B2" s="163"/>
      <c r="C2" s="164"/>
      <c r="D2" s="165"/>
      <c r="E2" s="166"/>
      <c r="F2" s="167"/>
      <c r="G2" s="164"/>
      <c r="H2" s="164"/>
      <c r="I2" s="164"/>
      <c r="J2" s="164"/>
      <c r="K2" s="167"/>
      <c r="L2" s="164"/>
      <c r="M2" s="168"/>
      <c r="N2" s="168"/>
      <c r="O2" s="169" t="s">
        <v>612</v>
      </c>
      <c r="P2" s="170"/>
      <c r="Q2" s="170"/>
      <c r="R2" s="170"/>
      <c r="S2" s="169"/>
      <c r="T2" s="170"/>
      <c r="U2" s="170"/>
      <c r="V2" s="170"/>
      <c r="W2" s="170"/>
      <c r="X2" s="170"/>
      <c r="Y2" s="170"/>
      <c r="Z2" s="170"/>
      <c r="AA2" s="170"/>
      <c r="AB2" s="171"/>
      <c r="AC2" s="169" t="s">
        <v>613</v>
      </c>
      <c r="AD2" s="170"/>
      <c r="AE2" s="170"/>
      <c r="AF2" s="170"/>
      <c r="AG2" s="169"/>
      <c r="AH2" s="170"/>
      <c r="AI2" s="170"/>
      <c r="AJ2" s="170"/>
      <c r="AK2" s="170"/>
      <c r="AL2" s="170"/>
      <c r="AM2" s="170"/>
      <c r="AN2" s="170"/>
      <c r="AO2" s="170"/>
      <c r="AP2" s="171"/>
      <c r="AQ2" s="169" t="s">
        <v>1264</v>
      </c>
      <c r="AR2" s="170"/>
      <c r="AS2" s="170"/>
      <c r="AT2" s="170"/>
      <c r="AU2" s="169"/>
      <c r="AV2" s="170"/>
      <c r="AW2" s="170"/>
      <c r="AX2" s="170"/>
      <c r="AY2" s="170"/>
      <c r="AZ2" s="170"/>
      <c r="BA2" s="170"/>
      <c r="BB2" s="170"/>
      <c r="BC2" s="172"/>
      <c r="BE2" s="133"/>
      <c r="BG2" s="135" t="s">
        <v>614</v>
      </c>
      <c r="BH2" s="136">
        <v>16500</v>
      </c>
      <c r="BK2" s="134"/>
      <c r="BL2" s="134"/>
      <c r="BM2" s="134"/>
    </row>
    <row r="3" spans="1:66" s="181" customFormat="1" ht="41.25" customHeight="1" x14ac:dyDescent="0.35">
      <c r="A3" s="173" t="s">
        <v>127</v>
      </c>
      <c r="B3" s="174" t="s">
        <v>11</v>
      </c>
      <c r="C3" s="174" t="s">
        <v>12</v>
      </c>
      <c r="D3" s="343" t="s">
        <v>32</v>
      </c>
      <c r="E3" s="343"/>
      <c r="F3" s="175" t="s">
        <v>225</v>
      </c>
      <c r="G3" s="174" t="s">
        <v>228</v>
      </c>
      <c r="H3" s="174" t="s">
        <v>424</v>
      </c>
      <c r="I3" s="174" t="s">
        <v>408</v>
      </c>
      <c r="J3" s="174" t="s">
        <v>609</v>
      </c>
      <c r="K3" s="175" t="s">
        <v>407</v>
      </c>
      <c r="L3" s="174" t="s">
        <v>610</v>
      </c>
      <c r="M3" s="174" t="s">
        <v>336</v>
      </c>
      <c r="N3" s="174" t="s">
        <v>337</v>
      </c>
      <c r="O3" s="176" t="s">
        <v>514</v>
      </c>
      <c r="P3" s="176" t="s">
        <v>515</v>
      </c>
      <c r="Q3" s="176" t="s">
        <v>516</v>
      </c>
      <c r="R3" s="176" t="s">
        <v>517</v>
      </c>
      <c r="S3" s="176" t="s">
        <v>518</v>
      </c>
      <c r="T3" s="176" t="s">
        <v>519</v>
      </c>
      <c r="U3" s="176" t="s">
        <v>520</v>
      </c>
      <c r="V3" s="176" t="s">
        <v>521</v>
      </c>
      <c r="W3" s="176" t="s">
        <v>522</v>
      </c>
      <c r="X3" s="176" t="s">
        <v>523</v>
      </c>
      <c r="Y3" s="176" t="s">
        <v>524</v>
      </c>
      <c r="Z3" s="176" t="s">
        <v>525</v>
      </c>
      <c r="AA3" s="176" t="s">
        <v>513</v>
      </c>
      <c r="AB3" s="177"/>
      <c r="AC3" s="176" t="s">
        <v>514</v>
      </c>
      <c r="AD3" s="176" t="s">
        <v>515</v>
      </c>
      <c r="AE3" s="176" t="s">
        <v>516</v>
      </c>
      <c r="AF3" s="176" t="s">
        <v>517</v>
      </c>
      <c r="AG3" s="176" t="s">
        <v>518</v>
      </c>
      <c r="AH3" s="176" t="s">
        <v>519</v>
      </c>
      <c r="AI3" s="176" t="s">
        <v>520</v>
      </c>
      <c r="AJ3" s="176" t="s">
        <v>521</v>
      </c>
      <c r="AK3" s="176" t="s">
        <v>522</v>
      </c>
      <c r="AL3" s="176" t="s">
        <v>523</v>
      </c>
      <c r="AM3" s="176" t="s">
        <v>524</v>
      </c>
      <c r="AN3" s="176" t="s">
        <v>525</v>
      </c>
      <c r="AO3" s="176" t="s">
        <v>513</v>
      </c>
      <c r="AP3" s="177"/>
      <c r="AQ3" s="176" t="s">
        <v>514</v>
      </c>
      <c r="AR3" s="176" t="s">
        <v>515</v>
      </c>
      <c r="AS3" s="176" t="s">
        <v>516</v>
      </c>
      <c r="AT3" s="176" t="s">
        <v>517</v>
      </c>
      <c r="AU3" s="176" t="s">
        <v>518</v>
      </c>
      <c r="AV3" s="176" t="s">
        <v>519</v>
      </c>
      <c r="AW3" s="176" t="s">
        <v>520</v>
      </c>
      <c r="AX3" s="176" t="s">
        <v>521</v>
      </c>
      <c r="AY3" s="176" t="s">
        <v>522</v>
      </c>
      <c r="AZ3" s="176" t="s">
        <v>523</v>
      </c>
      <c r="BA3" s="176" t="s">
        <v>524</v>
      </c>
      <c r="BB3" s="176" t="s">
        <v>525</v>
      </c>
      <c r="BC3" s="176" t="s">
        <v>513</v>
      </c>
      <c r="BD3" s="185" t="s">
        <v>498</v>
      </c>
      <c r="BE3" s="178" t="s">
        <v>338</v>
      </c>
      <c r="BF3" s="179" t="s">
        <v>320</v>
      </c>
      <c r="BG3" s="179" t="s">
        <v>444</v>
      </c>
      <c r="BH3" s="179" t="s">
        <v>445</v>
      </c>
      <c r="BI3" s="179" t="s">
        <v>526</v>
      </c>
      <c r="BJ3" s="178" t="s">
        <v>432</v>
      </c>
      <c r="BK3" s="180" t="s">
        <v>340</v>
      </c>
      <c r="BL3" s="180" t="s">
        <v>341</v>
      </c>
      <c r="BM3" s="180" t="s">
        <v>611</v>
      </c>
      <c r="BN3" s="180" t="s">
        <v>495</v>
      </c>
    </row>
    <row r="4" spans="1:66" s="156" customFormat="1" ht="14.5" x14ac:dyDescent="0.35">
      <c r="A4" s="137" t="str">
        <f>IF(D4="","",Cover!$D$8)</f>
        <v/>
      </c>
      <c r="B4" s="137" t="str">
        <f>IF(D4="","",Cover!$D$7)</f>
        <v/>
      </c>
      <c r="C4" s="138" t="str">
        <f>IF(F4="","",IFERROR(VLOOKUP(F4,'Master Data'!$E$59:$J$144,6,FALSE),0))</f>
        <v/>
      </c>
      <c r="D4" s="139" t="str">
        <f>IF(F4="","",IFERROR(VLOOKUP(F4,'Master Data'!$E$59:$L$147,8,FALSE),0))</f>
        <v/>
      </c>
      <c r="E4" s="138" t="str">
        <f>IF(D4="","",IFERROR(VLOOKUP(D4,'Master Data'!$D$59:$I$147,6,FALSE),0))</f>
        <v/>
      </c>
      <c r="F4" s="140"/>
      <c r="G4" s="141"/>
      <c r="H4" s="142">
        <f>IFERROR(VLOOKUP(G4,'Master Data'!$C$336:$I$353,7,FALSE),0)</f>
        <v>0</v>
      </c>
      <c r="I4" s="143">
        <f>IFERROR(VLOOKUP(H4,'Master Data'!$B$336:$D$351,3,FALSE),0)</f>
        <v>0</v>
      </c>
      <c r="J4" s="144">
        <f>IFERROR(VLOOKUP(H4,'Master Data'!$B$336:$H$353,7,FALSE),0)</f>
        <v>0</v>
      </c>
      <c r="K4" s="145"/>
      <c r="L4" s="146" t="str">
        <f>IFERROR(IF(I4="FIXED ASSET",J4&amp;E4&amp;K4,VLOOKUP(F4,'Master Data'!$E$59:$H$144,4,FALSE)&amp;"-"&amp;J4&amp;"-"&amp;K4),"-")</f>
        <v>-</v>
      </c>
      <c r="M4" s="140"/>
      <c r="N4" s="147"/>
      <c r="O4" s="148"/>
      <c r="P4" s="148"/>
      <c r="Q4" s="148"/>
      <c r="R4" s="148"/>
      <c r="S4" s="148"/>
      <c r="T4" s="148"/>
      <c r="U4" s="148"/>
      <c r="V4" s="148"/>
      <c r="W4" s="148"/>
      <c r="X4" s="148"/>
      <c r="Y4" s="148"/>
      <c r="Z4" s="148"/>
      <c r="AA4" s="149">
        <f>SUM(O4:Z4)</f>
        <v>0</v>
      </c>
      <c r="AB4" s="150"/>
      <c r="AC4" s="148"/>
      <c r="AD4" s="148"/>
      <c r="AE4" s="148"/>
      <c r="AF4" s="148"/>
      <c r="AG4" s="148"/>
      <c r="AH4" s="148"/>
      <c r="AI4" s="148"/>
      <c r="AJ4" s="148"/>
      <c r="AK4" s="148"/>
      <c r="AL4" s="148"/>
      <c r="AM4" s="148"/>
      <c r="AN4" s="148"/>
      <c r="AO4" s="149">
        <f>SUM(AC4:AN4)</f>
        <v>0</v>
      </c>
      <c r="AP4" s="150"/>
      <c r="AQ4" s="148"/>
      <c r="AR4" s="148"/>
      <c r="AS4" s="148"/>
      <c r="AT4" s="148"/>
      <c r="AU4" s="148"/>
      <c r="AV4" s="148"/>
      <c r="AW4" s="148"/>
      <c r="AX4" s="148"/>
      <c r="AY4" s="148"/>
      <c r="AZ4" s="148"/>
      <c r="BA4" s="148"/>
      <c r="BB4" s="148"/>
      <c r="BC4" s="149">
        <f>SUM(AQ4:BB4)</f>
        <v>0</v>
      </c>
      <c r="BD4" s="151">
        <f>+AA4-BI4</f>
        <v>0</v>
      </c>
      <c r="BE4" s="141"/>
      <c r="BF4" s="152"/>
      <c r="BG4" s="152"/>
      <c r="BH4" s="152"/>
      <c r="BI4" s="153">
        <f>IF(BG4="USD",BH4*$BH$2,IF(BG4="IDR",BH4,0))</f>
        <v>0</v>
      </c>
      <c r="BJ4" s="152"/>
      <c r="BK4" s="154" t="str">
        <f t="shared" ref="BK4:BK19" si="0">IF($I4="PROJECT","Please Fill Start Date","")</f>
        <v/>
      </c>
      <c r="BL4" s="154" t="str">
        <f>IF($I4="PROJECT","Please Fill Finish Date","")</f>
        <v/>
      </c>
      <c r="BM4" s="154" t="str">
        <f t="shared" ref="BM4" si="1">IF(AA4&gt;0,"Please Fill Remarks","")</f>
        <v/>
      </c>
      <c r="BN4" s="155"/>
    </row>
    <row r="5" spans="1:66" s="156" customFormat="1" ht="14.5" x14ac:dyDescent="0.35">
      <c r="A5" s="137" t="str">
        <f>IF(D5="","",Cover!$D$8)</f>
        <v/>
      </c>
      <c r="B5" s="137" t="str">
        <f>IF(D5="","",Cover!$D$7)</f>
        <v/>
      </c>
      <c r="C5" s="138" t="str">
        <f>IF(F5="","",IFERROR(VLOOKUP(F5,'Master Data'!$E$59:$J$144,6,FALSE),0))</f>
        <v/>
      </c>
      <c r="D5" s="139" t="str">
        <f>IF(F5="","",IFERROR(VLOOKUP(F5,'Master Data'!$E$59:$L$147,8,FALSE),0))</f>
        <v/>
      </c>
      <c r="E5" s="138" t="str">
        <f>IF(D5="","",IFERROR(VLOOKUP(D5,'Master Data'!$D$59:$I$147,6,FALSE),0))</f>
        <v/>
      </c>
      <c r="F5" s="140"/>
      <c r="G5" s="141"/>
      <c r="H5" s="142">
        <f>IFERROR(VLOOKUP(G5,'Master Data'!$C$336:$I$353,7,FALSE),0)</f>
        <v>0</v>
      </c>
      <c r="I5" s="143">
        <f>IFERROR(VLOOKUP(H5,'Master Data'!$B$336:$D$351,3,FALSE),0)</f>
        <v>0</v>
      </c>
      <c r="J5" s="144">
        <f>IFERROR(VLOOKUP(H5,'Master Data'!$B$336:$H$353,7,FALSE),0)</f>
        <v>0</v>
      </c>
      <c r="K5" s="145"/>
      <c r="L5" s="146" t="str">
        <f>IFERROR(IF(I5="FIXED ASSET",J5&amp;E5&amp;K5,VLOOKUP(F5,'Master Data'!$E$59:$H$144,4,FALSE)&amp;"-"&amp;J5&amp;"-"&amp;K5),"-")</f>
        <v>-</v>
      </c>
      <c r="M5" s="140"/>
      <c r="N5" s="147"/>
      <c r="O5" s="148"/>
      <c r="P5" s="148"/>
      <c r="Q5" s="148"/>
      <c r="R5" s="148"/>
      <c r="S5" s="148"/>
      <c r="T5" s="148"/>
      <c r="U5" s="148"/>
      <c r="V5" s="148"/>
      <c r="W5" s="148"/>
      <c r="X5" s="148"/>
      <c r="Y5" s="148"/>
      <c r="Z5" s="148"/>
      <c r="AA5" s="149">
        <f t="shared" ref="AA5:AA25" si="2">SUM(O5:Z5)</f>
        <v>0</v>
      </c>
      <c r="AB5" s="150"/>
      <c r="AC5" s="148"/>
      <c r="AD5" s="148"/>
      <c r="AE5" s="148"/>
      <c r="AF5" s="148"/>
      <c r="AG5" s="148"/>
      <c r="AH5" s="148"/>
      <c r="AI5" s="148"/>
      <c r="AJ5" s="148"/>
      <c r="AK5" s="148"/>
      <c r="AL5" s="148"/>
      <c r="AM5" s="148"/>
      <c r="AN5" s="148"/>
      <c r="AO5" s="149">
        <f t="shared" ref="AO5:AO56" si="3">SUM(AC5:AN5)</f>
        <v>0</v>
      </c>
      <c r="AP5" s="150"/>
      <c r="AQ5" s="148"/>
      <c r="AR5" s="148"/>
      <c r="AS5" s="148"/>
      <c r="AT5" s="148"/>
      <c r="AU5" s="148"/>
      <c r="AV5" s="148"/>
      <c r="AW5" s="148"/>
      <c r="AX5" s="148"/>
      <c r="AY5" s="148"/>
      <c r="AZ5" s="148"/>
      <c r="BA5" s="148"/>
      <c r="BB5" s="148"/>
      <c r="BC5" s="149">
        <f t="shared" ref="BC5:BC56" si="4">SUM(AQ5:BB5)</f>
        <v>0</v>
      </c>
      <c r="BD5" s="151">
        <f t="shared" ref="BD5:BD56" si="5">+AA5-BI5</f>
        <v>0</v>
      </c>
      <c r="BE5" s="141"/>
      <c r="BF5" s="152"/>
      <c r="BG5" s="152"/>
      <c r="BH5" s="152"/>
      <c r="BI5" s="153">
        <f t="shared" ref="BI5:BI56" si="6">IF(BG5="USD",BH5*$BH$2,IF(BG5="IDR",BH5,0))</f>
        <v>0</v>
      </c>
      <c r="BJ5" s="152"/>
      <c r="BK5" s="154" t="str">
        <f t="shared" si="0"/>
        <v/>
      </c>
      <c r="BL5" s="154" t="str">
        <f t="shared" ref="BL5:BL56" si="7">IF($I5="PROJECT","Please Fill Finish Date","")</f>
        <v/>
      </c>
      <c r="BM5" s="154" t="str">
        <f t="shared" ref="BM5:BM56" si="8">IF(AA5&gt;0,"Please Fill Remarks","")</f>
        <v/>
      </c>
      <c r="BN5" s="155"/>
    </row>
    <row r="6" spans="1:66" s="156" customFormat="1" ht="15" customHeight="1" x14ac:dyDescent="0.35">
      <c r="A6" s="137" t="str">
        <f>IF(D6="","",Cover!$D$8)</f>
        <v/>
      </c>
      <c r="B6" s="137" t="str">
        <f>IF(D6="","",Cover!$D$7)</f>
        <v/>
      </c>
      <c r="C6" s="138" t="str">
        <f>IF(F6="","",IFERROR(VLOOKUP(F6,'Master Data'!$E$59:$J$144,6,FALSE),0))</f>
        <v/>
      </c>
      <c r="D6" s="139" t="str">
        <f>IF(F6="","",IFERROR(VLOOKUP(F6,'Master Data'!$E$59:$L$147,8,FALSE),0))</f>
        <v/>
      </c>
      <c r="E6" s="138" t="str">
        <f>IF(D6="","",IFERROR(VLOOKUP(D6,'Master Data'!$D$59:$I$147,6,FALSE),0))</f>
        <v/>
      </c>
      <c r="F6" s="140"/>
      <c r="G6" s="141"/>
      <c r="H6" s="142">
        <f>IFERROR(VLOOKUP(G6,'Master Data'!$C$336:$I$353,7,FALSE),0)</f>
        <v>0</v>
      </c>
      <c r="I6" s="143">
        <f>IFERROR(VLOOKUP(H6,'Master Data'!$B$336:$D$351,3,FALSE),0)</f>
        <v>0</v>
      </c>
      <c r="J6" s="144">
        <f>IFERROR(VLOOKUP(H6,'Master Data'!$B$336:$H$353,7,FALSE),0)</f>
        <v>0</v>
      </c>
      <c r="K6" s="145"/>
      <c r="L6" s="146" t="str">
        <f>IFERROR(IF(I6="FIXED ASSET",J6&amp;E6&amp;K6,VLOOKUP(F6,'Master Data'!$E$59:$H$144,4,FALSE)&amp;"-"&amp;J6&amp;"-"&amp;K6),"-")</f>
        <v>-</v>
      </c>
      <c r="M6" s="140"/>
      <c r="N6" s="147"/>
      <c r="O6" s="148"/>
      <c r="P6" s="148"/>
      <c r="Q6" s="148"/>
      <c r="R6" s="148"/>
      <c r="S6" s="148"/>
      <c r="T6" s="148"/>
      <c r="U6" s="148"/>
      <c r="V6" s="148"/>
      <c r="W6" s="148"/>
      <c r="X6" s="148"/>
      <c r="Y6" s="148"/>
      <c r="Z6" s="148"/>
      <c r="AA6" s="149">
        <f t="shared" si="2"/>
        <v>0</v>
      </c>
      <c r="AB6" s="150"/>
      <c r="AC6" s="148"/>
      <c r="AD6" s="148"/>
      <c r="AE6" s="148"/>
      <c r="AF6" s="148"/>
      <c r="AG6" s="148"/>
      <c r="AH6" s="148"/>
      <c r="AI6" s="148"/>
      <c r="AJ6" s="148"/>
      <c r="AK6" s="148"/>
      <c r="AL6" s="148"/>
      <c r="AM6" s="148"/>
      <c r="AN6" s="148"/>
      <c r="AO6" s="149">
        <f t="shared" si="3"/>
        <v>0</v>
      </c>
      <c r="AP6" s="150"/>
      <c r="AQ6" s="148"/>
      <c r="AR6" s="148"/>
      <c r="AS6" s="148"/>
      <c r="AT6" s="148"/>
      <c r="AU6" s="148"/>
      <c r="AV6" s="148"/>
      <c r="AW6" s="148"/>
      <c r="AX6" s="148"/>
      <c r="AY6" s="148"/>
      <c r="AZ6" s="148"/>
      <c r="BA6" s="148"/>
      <c r="BB6" s="148"/>
      <c r="BC6" s="149">
        <f t="shared" si="4"/>
        <v>0</v>
      </c>
      <c r="BD6" s="151">
        <f t="shared" si="5"/>
        <v>0</v>
      </c>
      <c r="BE6" s="141"/>
      <c r="BF6" s="152"/>
      <c r="BG6" s="152"/>
      <c r="BH6" s="152"/>
      <c r="BI6" s="153">
        <f t="shared" si="6"/>
        <v>0</v>
      </c>
      <c r="BJ6" s="152"/>
      <c r="BK6" s="154" t="str">
        <f t="shared" si="0"/>
        <v/>
      </c>
      <c r="BL6" s="154" t="str">
        <f t="shared" si="7"/>
        <v/>
      </c>
      <c r="BM6" s="154" t="str">
        <f t="shared" si="8"/>
        <v/>
      </c>
      <c r="BN6" s="155"/>
    </row>
    <row r="7" spans="1:66" s="53" customFormat="1" ht="15" customHeight="1" x14ac:dyDescent="0.35">
      <c r="A7" s="137" t="str">
        <f>IF(D7="","",Cover!$D$8)</f>
        <v/>
      </c>
      <c r="B7" s="137" t="str">
        <f>IF(D7="","",Cover!$D$7)</f>
        <v/>
      </c>
      <c r="C7" s="138" t="str">
        <f>IF(F7="","",IFERROR(VLOOKUP(F7,'Master Data'!$E$59:$J$144,6,FALSE),0))</f>
        <v/>
      </c>
      <c r="D7" s="139" t="str">
        <f>IF(F7="","",IFERROR(VLOOKUP(F7,'Master Data'!$E$59:$L$147,8,FALSE),0))</f>
        <v/>
      </c>
      <c r="E7" s="138" t="str">
        <f>IF(D7="","",IFERROR(VLOOKUP(D7,'Master Data'!$D$59:$I$147,6,FALSE),0))</f>
        <v/>
      </c>
      <c r="F7" s="140"/>
      <c r="G7" s="141"/>
      <c r="H7" s="142">
        <f>IFERROR(VLOOKUP(G7,'Master Data'!$C$336:$I$353,7,FALSE),0)</f>
        <v>0</v>
      </c>
      <c r="I7" s="143">
        <f>IFERROR(VLOOKUP(H7,'Master Data'!$B$336:$D$351,3,FALSE),0)</f>
        <v>0</v>
      </c>
      <c r="J7" s="144">
        <f>IFERROR(VLOOKUP(H7,'Master Data'!$B$336:$H$353,7,FALSE),0)</f>
        <v>0</v>
      </c>
      <c r="K7" s="145"/>
      <c r="L7" s="146" t="str">
        <f>IFERROR(IF(I7="FIXED ASSET",J7&amp;E7&amp;K7,VLOOKUP(F7,'Master Data'!$E$59:$H$144,4,FALSE)&amp;"-"&amp;J7&amp;"-"&amp;K7),"-")</f>
        <v>-</v>
      </c>
      <c r="M7" s="140"/>
      <c r="N7" s="147"/>
      <c r="O7" s="157"/>
      <c r="P7" s="157"/>
      <c r="Q7" s="157"/>
      <c r="R7" s="157"/>
      <c r="S7" s="157"/>
      <c r="T7" s="157"/>
      <c r="U7" s="157"/>
      <c r="V7" s="157"/>
      <c r="W7" s="157"/>
      <c r="X7" s="157"/>
      <c r="Y7" s="157"/>
      <c r="Z7" s="157"/>
      <c r="AA7" s="149">
        <f t="shared" si="2"/>
        <v>0</v>
      </c>
      <c r="AB7" s="150"/>
      <c r="AC7" s="157"/>
      <c r="AD7" s="157"/>
      <c r="AE7" s="157"/>
      <c r="AF7" s="157"/>
      <c r="AG7" s="157"/>
      <c r="AH7" s="157"/>
      <c r="AI7" s="157"/>
      <c r="AJ7" s="157"/>
      <c r="AK7" s="157"/>
      <c r="AL7" s="157"/>
      <c r="AM7" s="157"/>
      <c r="AN7" s="157"/>
      <c r="AO7" s="149">
        <f t="shared" si="3"/>
        <v>0</v>
      </c>
      <c r="AP7" s="150"/>
      <c r="AQ7" s="157"/>
      <c r="AR7" s="157"/>
      <c r="AS7" s="157"/>
      <c r="AT7" s="157"/>
      <c r="AU7" s="157"/>
      <c r="AV7" s="157"/>
      <c r="AW7" s="157"/>
      <c r="AX7" s="157"/>
      <c r="AY7" s="157"/>
      <c r="AZ7" s="157"/>
      <c r="BA7" s="157"/>
      <c r="BB7" s="157"/>
      <c r="BC7" s="149">
        <f t="shared" si="4"/>
        <v>0</v>
      </c>
      <c r="BD7" s="151">
        <f t="shared" si="5"/>
        <v>0</v>
      </c>
      <c r="BE7" s="141"/>
      <c r="BF7" s="152"/>
      <c r="BG7" s="152"/>
      <c r="BH7" s="152"/>
      <c r="BI7" s="153">
        <f t="shared" si="6"/>
        <v>0</v>
      </c>
      <c r="BJ7" s="152"/>
      <c r="BK7" s="154" t="str">
        <f t="shared" si="0"/>
        <v/>
      </c>
      <c r="BL7" s="154" t="str">
        <f t="shared" si="7"/>
        <v/>
      </c>
      <c r="BM7" s="154" t="str">
        <f t="shared" si="8"/>
        <v/>
      </c>
      <c r="BN7" s="155"/>
    </row>
    <row r="8" spans="1:66" s="53" customFormat="1" ht="15" customHeight="1" x14ac:dyDescent="0.35">
      <c r="A8" s="137" t="str">
        <f>IF(D8="","",Cover!$D$8)</f>
        <v/>
      </c>
      <c r="B8" s="137" t="str">
        <f>IF(D8="","",Cover!$D$7)</f>
        <v/>
      </c>
      <c r="C8" s="138" t="str">
        <f>IF(F8="","",IFERROR(VLOOKUP(F8,'Master Data'!$E$59:$J$144,6,FALSE),0))</f>
        <v/>
      </c>
      <c r="D8" s="139" t="str">
        <f>IF(F8="","",IFERROR(VLOOKUP(F8,'Master Data'!$E$59:$L$147,8,FALSE),0))</f>
        <v/>
      </c>
      <c r="E8" s="138" t="str">
        <f>IF(D8="","",IFERROR(VLOOKUP(D8,'Master Data'!$D$59:$I$147,6,FALSE),0))</f>
        <v/>
      </c>
      <c r="F8" s="140"/>
      <c r="G8" s="141"/>
      <c r="H8" s="142">
        <f>IFERROR(VLOOKUP(G8,'Master Data'!$C$336:$I$353,7,FALSE),0)</f>
        <v>0</v>
      </c>
      <c r="I8" s="143">
        <f>IFERROR(VLOOKUP(H8,'Master Data'!$B$336:$D$351,3,FALSE),0)</f>
        <v>0</v>
      </c>
      <c r="J8" s="144">
        <f>IFERROR(VLOOKUP(H8,'Master Data'!$B$336:$H$353,7,FALSE),0)</f>
        <v>0</v>
      </c>
      <c r="K8" s="145"/>
      <c r="L8" s="146" t="str">
        <f>IFERROR(IF(I8="FIXED ASSET",J8&amp;E8&amp;K8,VLOOKUP(F8,'Master Data'!$E$59:$H$144,4,FALSE)&amp;"-"&amp;J8&amp;"-"&amp;K8),"-")</f>
        <v>-</v>
      </c>
      <c r="M8" s="140"/>
      <c r="N8" s="147"/>
      <c r="O8" s="157"/>
      <c r="P8" s="157"/>
      <c r="Q8" s="157"/>
      <c r="R8" s="157"/>
      <c r="S8" s="157"/>
      <c r="T8" s="157"/>
      <c r="U8" s="157"/>
      <c r="V8" s="157"/>
      <c r="W8" s="157"/>
      <c r="X8" s="157"/>
      <c r="Y8" s="157"/>
      <c r="Z8" s="157"/>
      <c r="AA8" s="149">
        <f t="shared" si="2"/>
        <v>0</v>
      </c>
      <c r="AB8" s="150"/>
      <c r="AC8" s="157"/>
      <c r="AD8" s="157"/>
      <c r="AE8" s="157"/>
      <c r="AF8" s="157"/>
      <c r="AG8" s="157"/>
      <c r="AH8" s="157"/>
      <c r="AI8" s="157"/>
      <c r="AJ8" s="157"/>
      <c r="AK8" s="157"/>
      <c r="AL8" s="157"/>
      <c r="AM8" s="157"/>
      <c r="AN8" s="157"/>
      <c r="AO8" s="149">
        <f t="shared" si="3"/>
        <v>0</v>
      </c>
      <c r="AP8" s="150"/>
      <c r="AQ8" s="157"/>
      <c r="AR8" s="157"/>
      <c r="AS8" s="157"/>
      <c r="AT8" s="157"/>
      <c r="AU8" s="157"/>
      <c r="AV8" s="157"/>
      <c r="AW8" s="157"/>
      <c r="AX8" s="157"/>
      <c r="AY8" s="157"/>
      <c r="AZ8" s="157"/>
      <c r="BA8" s="157"/>
      <c r="BB8" s="157"/>
      <c r="BC8" s="149">
        <f t="shared" si="4"/>
        <v>0</v>
      </c>
      <c r="BD8" s="151">
        <f t="shared" si="5"/>
        <v>0</v>
      </c>
      <c r="BE8" s="141"/>
      <c r="BF8" s="152"/>
      <c r="BG8" s="152"/>
      <c r="BH8" s="152"/>
      <c r="BI8" s="153">
        <f t="shared" si="6"/>
        <v>0</v>
      </c>
      <c r="BJ8" s="152"/>
      <c r="BK8" s="154" t="str">
        <f t="shared" si="0"/>
        <v/>
      </c>
      <c r="BL8" s="154" t="str">
        <f t="shared" si="7"/>
        <v/>
      </c>
      <c r="BM8" s="154" t="str">
        <f t="shared" si="8"/>
        <v/>
      </c>
      <c r="BN8" s="155"/>
    </row>
    <row r="9" spans="1:66" s="53" customFormat="1" ht="15" customHeight="1" x14ac:dyDescent="0.35">
      <c r="A9" s="137" t="str">
        <f>IF(D9="","",Cover!$D$8)</f>
        <v/>
      </c>
      <c r="B9" s="137" t="str">
        <f>IF(D9="","",Cover!$D$7)</f>
        <v/>
      </c>
      <c r="C9" s="138" t="str">
        <f>IF(F9="","",IFERROR(VLOOKUP(F9,'Master Data'!$E$59:$J$144,6,FALSE),0))</f>
        <v/>
      </c>
      <c r="D9" s="139" t="str">
        <f>IF(F9="","",IFERROR(VLOOKUP(F9,'Master Data'!$E$59:$L$147,8,FALSE),0))</f>
        <v/>
      </c>
      <c r="E9" s="138" t="str">
        <f>IF(D9="","",IFERROR(VLOOKUP(D9,'Master Data'!$D$59:$I$147,6,FALSE),0))</f>
        <v/>
      </c>
      <c r="F9" s="140"/>
      <c r="G9" s="141"/>
      <c r="H9" s="142">
        <f>IFERROR(VLOOKUP(G9,'Master Data'!$C$336:$I$353,7,FALSE),0)</f>
        <v>0</v>
      </c>
      <c r="I9" s="143">
        <f>IFERROR(VLOOKUP(H9,'Master Data'!$B$336:$D$351,3,FALSE),0)</f>
        <v>0</v>
      </c>
      <c r="J9" s="144">
        <f>IFERROR(VLOOKUP(H9,'Master Data'!$B$336:$H$353,7,FALSE),0)</f>
        <v>0</v>
      </c>
      <c r="K9" s="145"/>
      <c r="L9" s="146" t="str">
        <f>IFERROR(IF(I9="FIXED ASSET",J9&amp;E9&amp;K9,VLOOKUP(F9,'Master Data'!$E$59:$H$144,4,FALSE)&amp;"-"&amp;J9&amp;"-"&amp;K9),"-")</f>
        <v>-</v>
      </c>
      <c r="M9" s="140"/>
      <c r="N9" s="147"/>
      <c r="O9" s="157"/>
      <c r="P9" s="157"/>
      <c r="Q9" s="157"/>
      <c r="R9" s="157"/>
      <c r="S9" s="157"/>
      <c r="T9" s="157"/>
      <c r="U9" s="157"/>
      <c r="V9" s="157"/>
      <c r="W9" s="157"/>
      <c r="X9" s="157"/>
      <c r="Y9" s="157"/>
      <c r="Z9" s="157"/>
      <c r="AA9" s="149">
        <f t="shared" si="2"/>
        <v>0</v>
      </c>
      <c r="AB9" s="150"/>
      <c r="AC9" s="157"/>
      <c r="AD9" s="157"/>
      <c r="AE9" s="157"/>
      <c r="AF9" s="157"/>
      <c r="AG9" s="157"/>
      <c r="AH9" s="157"/>
      <c r="AI9" s="157"/>
      <c r="AJ9" s="157"/>
      <c r="AK9" s="157"/>
      <c r="AL9" s="157"/>
      <c r="AM9" s="157"/>
      <c r="AN9" s="157"/>
      <c r="AO9" s="149">
        <f t="shared" si="3"/>
        <v>0</v>
      </c>
      <c r="AP9" s="150"/>
      <c r="AQ9" s="157"/>
      <c r="AR9" s="157"/>
      <c r="AS9" s="157"/>
      <c r="AT9" s="157"/>
      <c r="AU9" s="157"/>
      <c r="AV9" s="157"/>
      <c r="AW9" s="157"/>
      <c r="AX9" s="157"/>
      <c r="AY9" s="157"/>
      <c r="AZ9" s="157"/>
      <c r="BA9" s="157"/>
      <c r="BB9" s="157"/>
      <c r="BC9" s="149">
        <f t="shared" si="4"/>
        <v>0</v>
      </c>
      <c r="BD9" s="151">
        <f t="shared" si="5"/>
        <v>0</v>
      </c>
      <c r="BE9" s="141"/>
      <c r="BF9" s="152"/>
      <c r="BG9" s="152"/>
      <c r="BH9" s="152"/>
      <c r="BI9" s="153">
        <f t="shared" si="6"/>
        <v>0</v>
      </c>
      <c r="BJ9" s="152"/>
      <c r="BK9" s="154" t="str">
        <f t="shared" si="0"/>
        <v/>
      </c>
      <c r="BL9" s="154" t="str">
        <f t="shared" si="7"/>
        <v/>
      </c>
      <c r="BM9" s="154" t="str">
        <f t="shared" si="8"/>
        <v/>
      </c>
      <c r="BN9" s="155"/>
    </row>
    <row r="10" spans="1:66" s="53" customFormat="1" ht="15" customHeight="1" x14ac:dyDescent="0.35">
      <c r="A10" s="137" t="str">
        <f>IF(D10="","",Cover!$D$8)</f>
        <v/>
      </c>
      <c r="B10" s="137" t="str">
        <f>IF(D10="","",Cover!$D$7)</f>
        <v/>
      </c>
      <c r="C10" s="138" t="str">
        <f>IF(F10="","",IFERROR(VLOOKUP(F10,'Master Data'!$E$59:$J$144,6,FALSE),0))</f>
        <v/>
      </c>
      <c r="D10" s="139" t="str">
        <f>IF(F10="","",IFERROR(VLOOKUP(F10,'Master Data'!$E$59:$L$147,8,FALSE),0))</f>
        <v/>
      </c>
      <c r="E10" s="138" t="str">
        <f>IF(D10="","",IFERROR(VLOOKUP(D10,'Master Data'!$D$59:$I$147,6,FALSE),0))</f>
        <v/>
      </c>
      <c r="F10" s="140"/>
      <c r="G10" s="141"/>
      <c r="H10" s="142">
        <f>IFERROR(VLOOKUP(G10,'Master Data'!$C$336:$I$353,7,FALSE),0)</f>
        <v>0</v>
      </c>
      <c r="I10" s="143">
        <f>IFERROR(VLOOKUP(H10,'Master Data'!$B$336:$D$351,3,FALSE),0)</f>
        <v>0</v>
      </c>
      <c r="J10" s="144">
        <f>IFERROR(VLOOKUP(H10,'Master Data'!$B$336:$H$353,7,FALSE),0)</f>
        <v>0</v>
      </c>
      <c r="K10" s="145"/>
      <c r="L10" s="146" t="str">
        <f>IFERROR(IF(I10="FIXED ASSET",J10&amp;E10&amp;K10,VLOOKUP(F10,'Master Data'!$E$59:$H$144,4,FALSE)&amp;"-"&amp;J10&amp;"-"&amp;K10),"-")</f>
        <v>-</v>
      </c>
      <c r="M10" s="140"/>
      <c r="N10" s="147"/>
      <c r="O10" s="157"/>
      <c r="P10" s="157"/>
      <c r="Q10" s="157"/>
      <c r="R10" s="157"/>
      <c r="S10" s="157"/>
      <c r="T10" s="157"/>
      <c r="U10" s="157"/>
      <c r="V10" s="157"/>
      <c r="W10" s="157"/>
      <c r="X10" s="157"/>
      <c r="Y10" s="157"/>
      <c r="Z10" s="157"/>
      <c r="AA10" s="149">
        <f t="shared" si="2"/>
        <v>0</v>
      </c>
      <c r="AB10" s="150"/>
      <c r="AC10" s="157"/>
      <c r="AD10" s="157"/>
      <c r="AE10" s="157"/>
      <c r="AF10" s="157"/>
      <c r="AG10" s="157"/>
      <c r="AH10" s="157"/>
      <c r="AI10" s="157"/>
      <c r="AJ10" s="157"/>
      <c r="AK10" s="157"/>
      <c r="AL10" s="157"/>
      <c r="AM10" s="157"/>
      <c r="AN10" s="157"/>
      <c r="AO10" s="149">
        <f t="shared" si="3"/>
        <v>0</v>
      </c>
      <c r="AP10" s="150"/>
      <c r="AQ10" s="157"/>
      <c r="AR10" s="157"/>
      <c r="AS10" s="157"/>
      <c r="AT10" s="157"/>
      <c r="AU10" s="157"/>
      <c r="AV10" s="157"/>
      <c r="AW10" s="157"/>
      <c r="AX10" s="157"/>
      <c r="AY10" s="157"/>
      <c r="AZ10" s="157"/>
      <c r="BA10" s="157"/>
      <c r="BB10" s="157"/>
      <c r="BC10" s="149">
        <f t="shared" si="4"/>
        <v>0</v>
      </c>
      <c r="BD10" s="151">
        <f t="shared" si="5"/>
        <v>0</v>
      </c>
      <c r="BE10" s="141"/>
      <c r="BF10" s="152"/>
      <c r="BG10" s="152"/>
      <c r="BH10" s="152"/>
      <c r="BI10" s="153">
        <f t="shared" si="6"/>
        <v>0</v>
      </c>
      <c r="BJ10" s="152"/>
      <c r="BK10" s="154" t="str">
        <f t="shared" si="0"/>
        <v/>
      </c>
      <c r="BL10" s="154" t="str">
        <f t="shared" si="7"/>
        <v/>
      </c>
      <c r="BM10" s="154" t="str">
        <f t="shared" si="8"/>
        <v/>
      </c>
      <c r="BN10" s="155"/>
    </row>
    <row r="11" spans="1:66" s="53" customFormat="1" ht="15" customHeight="1" x14ac:dyDescent="0.35">
      <c r="A11" s="137" t="str">
        <f>IF(D11="","",Cover!$D$8)</f>
        <v/>
      </c>
      <c r="B11" s="137" t="str">
        <f>IF(D11="","",Cover!$D$7)</f>
        <v/>
      </c>
      <c r="C11" s="138" t="str">
        <f>IF(F11="","",IFERROR(VLOOKUP(F11,'Master Data'!$E$59:$J$144,6,FALSE),0))</f>
        <v/>
      </c>
      <c r="D11" s="139" t="str">
        <f>IF(F11="","",IFERROR(VLOOKUP(F11,'Master Data'!$E$59:$L$147,8,FALSE),0))</f>
        <v/>
      </c>
      <c r="E11" s="138" t="str">
        <f>IF(D11="","",IFERROR(VLOOKUP(D11,'Master Data'!$D$59:$I$147,6,FALSE),0))</f>
        <v/>
      </c>
      <c r="F11" s="140"/>
      <c r="G11" s="141"/>
      <c r="H11" s="142">
        <f>IFERROR(VLOOKUP(G11,'Master Data'!$C$336:$I$353,7,FALSE),0)</f>
        <v>0</v>
      </c>
      <c r="I11" s="143">
        <f>IFERROR(VLOOKUP(H11,'Master Data'!$B$336:$D$351,3,FALSE),0)</f>
        <v>0</v>
      </c>
      <c r="J11" s="144">
        <f>IFERROR(VLOOKUP(H11,'Master Data'!$B$336:$H$353,7,FALSE),0)</f>
        <v>0</v>
      </c>
      <c r="K11" s="145"/>
      <c r="L11" s="146" t="str">
        <f>IFERROR(IF(I11="FIXED ASSET",J11&amp;E11&amp;K11,VLOOKUP(F11,'Master Data'!$E$59:$H$144,4,FALSE)&amp;"-"&amp;J11&amp;"-"&amp;K11),"-")</f>
        <v>-</v>
      </c>
      <c r="M11" s="140"/>
      <c r="N11" s="147"/>
      <c r="O11" s="157"/>
      <c r="P11" s="157"/>
      <c r="Q11" s="157"/>
      <c r="R11" s="157"/>
      <c r="S11" s="157"/>
      <c r="T11" s="157"/>
      <c r="U11" s="157"/>
      <c r="V11" s="157"/>
      <c r="W11" s="157"/>
      <c r="X11" s="157"/>
      <c r="Y11" s="157"/>
      <c r="Z11" s="157"/>
      <c r="AA11" s="149">
        <f t="shared" si="2"/>
        <v>0</v>
      </c>
      <c r="AB11" s="150"/>
      <c r="AC11" s="157"/>
      <c r="AD11" s="157"/>
      <c r="AE11" s="157"/>
      <c r="AF11" s="157"/>
      <c r="AG11" s="157"/>
      <c r="AH11" s="157"/>
      <c r="AI11" s="157"/>
      <c r="AJ11" s="157"/>
      <c r="AK11" s="157"/>
      <c r="AL11" s="157"/>
      <c r="AM11" s="157"/>
      <c r="AN11" s="157"/>
      <c r="AO11" s="149">
        <f t="shared" si="3"/>
        <v>0</v>
      </c>
      <c r="AP11" s="150"/>
      <c r="AQ11" s="157"/>
      <c r="AR11" s="157"/>
      <c r="AS11" s="157"/>
      <c r="AT11" s="157"/>
      <c r="AU11" s="157"/>
      <c r="AV11" s="157"/>
      <c r="AW11" s="157"/>
      <c r="AX11" s="157"/>
      <c r="AY11" s="157"/>
      <c r="AZ11" s="157"/>
      <c r="BA11" s="157"/>
      <c r="BB11" s="157"/>
      <c r="BC11" s="149">
        <f t="shared" si="4"/>
        <v>0</v>
      </c>
      <c r="BD11" s="151">
        <f t="shared" si="5"/>
        <v>0</v>
      </c>
      <c r="BE11" s="141"/>
      <c r="BF11" s="152"/>
      <c r="BG11" s="152"/>
      <c r="BH11" s="152"/>
      <c r="BI11" s="153">
        <f t="shared" si="6"/>
        <v>0</v>
      </c>
      <c r="BJ11" s="152"/>
      <c r="BK11" s="154" t="str">
        <f t="shared" si="0"/>
        <v/>
      </c>
      <c r="BL11" s="154" t="str">
        <f t="shared" si="7"/>
        <v/>
      </c>
      <c r="BM11" s="154" t="str">
        <f t="shared" si="8"/>
        <v/>
      </c>
      <c r="BN11" s="155"/>
    </row>
    <row r="12" spans="1:66" s="53" customFormat="1" ht="15" customHeight="1" x14ac:dyDescent="0.35">
      <c r="A12" s="137" t="str">
        <f>IF(D12="","",Cover!$D$8)</f>
        <v/>
      </c>
      <c r="B12" s="137" t="str">
        <f>IF(D12="","",Cover!$D$7)</f>
        <v/>
      </c>
      <c r="C12" s="138" t="str">
        <f>IF(F12="","",IFERROR(VLOOKUP(F12,'Master Data'!$E$59:$J$144,6,FALSE),0))</f>
        <v/>
      </c>
      <c r="D12" s="139" t="str">
        <f>IF(F12="","",IFERROR(VLOOKUP(F12,'Master Data'!$E$59:$L$147,8,FALSE),0))</f>
        <v/>
      </c>
      <c r="E12" s="138" t="str">
        <f>IF(D12="","",IFERROR(VLOOKUP(D12,'Master Data'!$D$59:$I$147,6,FALSE),0))</f>
        <v/>
      </c>
      <c r="F12" s="140"/>
      <c r="G12" s="141"/>
      <c r="H12" s="142">
        <f>IFERROR(VLOOKUP(G12,'Master Data'!$C$336:$I$353,7,FALSE),0)</f>
        <v>0</v>
      </c>
      <c r="I12" s="143">
        <f>IFERROR(VLOOKUP(H12,'Master Data'!$B$336:$D$351,3,FALSE),0)</f>
        <v>0</v>
      </c>
      <c r="J12" s="144">
        <f>IFERROR(VLOOKUP(H12,'Master Data'!$B$336:$H$353,7,FALSE),0)</f>
        <v>0</v>
      </c>
      <c r="K12" s="145"/>
      <c r="L12" s="146" t="str">
        <f>IFERROR(IF(I12="FIXED ASSET",J12&amp;E12&amp;K12,VLOOKUP(F12,'Master Data'!$E$59:$H$144,4,FALSE)&amp;"-"&amp;J12&amp;"-"&amp;K12),"-")</f>
        <v>-</v>
      </c>
      <c r="M12" s="140"/>
      <c r="N12" s="147"/>
      <c r="O12" s="157"/>
      <c r="P12" s="157"/>
      <c r="Q12" s="157"/>
      <c r="R12" s="157"/>
      <c r="S12" s="157"/>
      <c r="T12" s="157"/>
      <c r="U12" s="157"/>
      <c r="V12" s="157"/>
      <c r="W12" s="157"/>
      <c r="X12" s="157"/>
      <c r="Y12" s="157"/>
      <c r="Z12" s="157"/>
      <c r="AA12" s="149">
        <f t="shared" si="2"/>
        <v>0</v>
      </c>
      <c r="AB12" s="150"/>
      <c r="AC12" s="157"/>
      <c r="AD12" s="157"/>
      <c r="AE12" s="157"/>
      <c r="AF12" s="157"/>
      <c r="AG12" s="157"/>
      <c r="AH12" s="157"/>
      <c r="AI12" s="157"/>
      <c r="AJ12" s="157"/>
      <c r="AK12" s="157"/>
      <c r="AL12" s="157"/>
      <c r="AM12" s="157"/>
      <c r="AN12" s="157"/>
      <c r="AO12" s="149">
        <f t="shared" si="3"/>
        <v>0</v>
      </c>
      <c r="AP12" s="150"/>
      <c r="AQ12" s="157"/>
      <c r="AR12" s="157"/>
      <c r="AS12" s="157"/>
      <c r="AT12" s="157"/>
      <c r="AU12" s="157"/>
      <c r="AV12" s="157"/>
      <c r="AW12" s="157"/>
      <c r="AX12" s="157"/>
      <c r="AY12" s="157"/>
      <c r="AZ12" s="157"/>
      <c r="BA12" s="157"/>
      <c r="BB12" s="157"/>
      <c r="BC12" s="149">
        <f t="shared" si="4"/>
        <v>0</v>
      </c>
      <c r="BD12" s="151">
        <f t="shared" si="5"/>
        <v>0</v>
      </c>
      <c r="BE12" s="141"/>
      <c r="BF12" s="152"/>
      <c r="BG12" s="152"/>
      <c r="BH12" s="152"/>
      <c r="BI12" s="153">
        <f t="shared" si="6"/>
        <v>0</v>
      </c>
      <c r="BJ12" s="152"/>
      <c r="BK12" s="154" t="str">
        <f t="shared" si="0"/>
        <v/>
      </c>
      <c r="BL12" s="154" t="str">
        <f t="shared" si="7"/>
        <v/>
      </c>
      <c r="BM12" s="154" t="str">
        <f t="shared" si="8"/>
        <v/>
      </c>
      <c r="BN12" s="155"/>
    </row>
    <row r="13" spans="1:66" s="53" customFormat="1" ht="15" customHeight="1" x14ac:dyDescent="0.35">
      <c r="A13" s="137" t="str">
        <f>IF(D13="","",Cover!$D$8)</f>
        <v/>
      </c>
      <c r="B13" s="137" t="str">
        <f>IF(D13="","",Cover!$D$7)</f>
        <v/>
      </c>
      <c r="C13" s="138" t="str">
        <f>IF(F13="","",IFERROR(VLOOKUP(F13,'Master Data'!$E$59:$J$144,6,FALSE),0))</f>
        <v/>
      </c>
      <c r="D13" s="139" t="str">
        <f>IF(F13="","",IFERROR(VLOOKUP(F13,'Master Data'!$E$59:$L$147,8,FALSE),0))</f>
        <v/>
      </c>
      <c r="E13" s="138" t="str">
        <f>IF(D13="","",IFERROR(VLOOKUP(D13,'Master Data'!$D$59:$I$147,6,FALSE),0))</f>
        <v/>
      </c>
      <c r="F13" s="140"/>
      <c r="G13" s="141"/>
      <c r="H13" s="142">
        <f>IFERROR(VLOOKUP(G13,'Master Data'!$C$336:$I$353,7,FALSE),0)</f>
        <v>0</v>
      </c>
      <c r="I13" s="143">
        <f>IFERROR(VLOOKUP(H13,'Master Data'!$B$336:$D$351,3,FALSE),0)</f>
        <v>0</v>
      </c>
      <c r="J13" s="144">
        <f>IFERROR(VLOOKUP(H13,'Master Data'!$B$336:$H$353,7,FALSE),0)</f>
        <v>0</v>
      </c>
      <c r="K13" s="145"/>
      <c r="L13" s="146" t="str">
        <f>IFERROR(IF(I13="FIXED ASSET",J13&amp;E13&amp;K13,VLOOKUP(F13,'Master Data'!$E$59:$H$144,4,FALSE)&amp;"-"&amp;J13&amp;"-"&amp;K13),"-")</f>
        <v>-</v>
      </c>
      <c r="M13" s="140"/>
      <c r="N13" s="147"/>
      <c r="O13" s="157"/>
      <c r="P13" s="157"/>
      <c r="Q13" s="157"/>
      <c r="R13" s="157"/>
      <c r="S13" s="157"/>
      <c r="T13" s="157"/>
      <c r="U13" s="157"/>
      <c r="V13" s="157"/>
      <c r="W13" s="157"/>
      <c r="X13" s="157"/>
      <c r="Y13" s="157"/>
      <c r="Z13" s="157"/>
      <c r="AA13" s="149">
        <f t="shared" si="2"/>
        <v>0</v>
      </c>
      <c r="AB13" s="150"/>
      <c r="AC13" s="157"/>
      <c r="AD13" s="157"/>
      <c r="AE13" s="157"/>
      <c r="AF13" s="157"/>
      <c r="AG13" s="157"/>
      <c r="AH13" s="157"/>
      <c r="AI13" s="157"/>
      <c r="AJ13" s="157"/>
      <c r="AK13" s="157"/>
      <c r="AL13" s="157"/>
      <c r="AM13" s="157"/>
      <c r="AN13" s="157"/>
      <c r="AO13" s="149">
        <f t="shared" si="3"/>
        <v>0</v>
      </c>
      <c r="AP13" s="150"/>
      <c r="AQ13" s="157"/>
      <c r="AR13" s="157"/>
      <c r="AS13" s="157"/>
      <c r="AT13" s="157"/>
      <c r="AU13" s="157"/>
      <c r="AV13" s="157"/>
      <c r="AW13" s="157"/>
      <c r="AX13" s="157"/>
      <c r="AY13" s="157"/>
      <c r="AZ13" s="157"/>
      <c r="BA13" s="157"/>
      <c r="BB13" s="157"/>
      <c r="BC13" s="149">
        <f t="shared" si="4"/>
        <v>0</v>
      </c>
      <c r="BD13" s="151">
        <f t="shared" si="5"/>
        <v>0</v>
      </c>
      <c r="BE13" s="141"/>
      <c r="BF13" s="152"/>
      <c r="BG13" s="152"/>
      <c r="BH13" s="152"/>
      <c r="BI13" s="153">
        <f t="shared" si="6"/>
        <v>0</v>
      </c>
      <c r="BJ13" s="152"/>
      <c r="BK13" s="154" t="str">
        <f t="shared" si="0"/>
        <v/>
      </c>
      <c r="BL13" s="154" t="str">
        <f t="shared" si="7"/>
        <v/>
      </c>
      <c r="BM13" s="154" t="str">
        <f t="shared" si="8"/>
        <v/>
      </c>
      <c r="BN13" s="155"/>
    </row>
    <row r="14" spans="1:66" s="53" customFormat="1" ht="15" customHeight="1" x14ac:dyDescent="0.35">
      <c r="A14" s="137" t="str">
        <f>IF(D14="","",Cover!$D$8)</f>
        <v/>
      </c>
      <c r="B14" s="137" t="str">
        <f>IF(D14="","",Cover!$D$7)</f>
        <v/>
      </c>
      <c r="C14" s="138" t="str">
        <f>IF(F14="","",IFERROR(VLOOKUP(F14,'Master Data'!$E$59:$J$144,6,FALSE),0))</f>
        <v/>
      </c>
      <c r="D14" s="139" t="str">
        <f>IF(F14="","",IFERROR(VLOOKUP(F14,'Master Data'!$E$59:$L$147,8,FALSE),0))</f>
        <v/>
      </c>
      <c r="E14" s="138" t="str">
        <f>IF(D14="","",IFERROR(VLOOKUP(D14,'Master Data'!$D$59:$I$147,6,FALSE),0))</f>
        <v/>
      </c>
      <c r="F14" s="140"/>
      <c r="G14" s="141"/>
      <c r="H14" s="142">
        <f>IFERROR(VLOOKUP(G14,'Master Data'!$C$336:$I$353,7,FALSE),0)</f>
        <v>0</v>
      </c>
      <c r="I14" s="143">
        <f>IFERROR(VLOOKUP(H14,'Master Data'!$B$336:$D$351,3,FALSE),0)</f>
        <v>0</v>
      </c>
      <c r="J14" s="144">
        <f>IFERROR(VLOOKUP(H14,'Master Data'!$B$336:$H$353,7,FALSE),0)</f>
        <v>0</v>
      </c>
      <c r="K14" s="145"/>
      <c r="L14" s="146" t="str">
        <f>IFERROR(IF(I14="FIXED ASSET",J14&amp;E14&amp;K14,VLOOKUP(F14,'Master Data'!$E$59:$H$144,4,FALSE)&amp;"-"&amp;J14&amp;"-"&amp;K14),"-")</f>
        <v>-</v>
      </c>
      <c r="M14" s="140"/>
      <c r="N14" s="147"/>
      <c r="O14" s="157"/>
      <c r="P14" s="157"/>
      <c r="Q14" s="157"/>
      <c r="R14" s="157"/>
      <c r="S14" s="157"/>
      <c r="T14" s="157"/>
      <c r="U14" s="157"/>
      <c r="V14" s="157"/>
      <c r="W14" s="157"/>
      <c r="X14" s="157"/>
      <c r="Y14" s="157"/>
      <c r="Z14" s="157"/>
      <c r="AA14" s="149">
        <f t="shared" si="2"/>
        <v>0</v>
      </c>
      <c r="AB14" s="150"/>
      <c r="AC14" s="157"/>
      <c r="AD14" s="157"/>
      <c r="AE14" s="157"/>
      <c r="AF14" s="157"/>
      <c r="AG14" s="157"/>
      <c r="AH14" s="157"/>
      <c r="AI14" s="157"/>
      <c r="AJ14" s="157"/>
      <c r="AK14" s="157"/>
      <c r="AL14" s="157"/>
      <c r="AM14" s="157"/>
      <c r="AN14" s="157"/>
      <c r="AO14" s="149">
        <f t="shared" si="3"/>
        <v>0</v>
      </c>
      <c r="AP14" s="150"/>
      <c r="AQ14" s="157"/>
      <c r="AR14" s="157"/>
      <c r="AS14" s="157"/>
      <c r="AT14" s="157"/>
      <c r="AU14" s="157"/>
      <c r="AV14" s="157"/>
      <c r="AW14" s="157"/>
      <c r="AX14" s="157"/>
      <c r="AY14" s="157"/>
      <c r="AZ14" s="157"/>
      <c r="BA14" s="157"/>
      <c r="BB14" s="157"/>
      <c r="BC14" s="149">
        <f t="shared" si="4"/>
        <v>0</v>
      </c>
      <c r="BD14" s="151">
        <f t="shared" si="5"/>
        <v>0</v>
      </c>
      <c r="BE14" s="141"/>
      <c r="BF14" s="152"/>
      <c r="BG14" s="152"/>
      <c r="BH14" s="152"/>
      <c r="BI14" s="153">
        <f t="shared" si="6"/>
        <v>0</v>
      </c>
      <c r="BJ14" s="152"/>
      <c r="BK14" s="154" t="str">
        <f t="shared" si="0"/>
        <v/>
      </c>
      <c r="BL14" s="154" t="str">
        <f t="shared" si="7"/>
        <v/>
      </c>
      <c r="BM14" s="154" t="str">
        <f t="shared" si="8"/>
        <v/>
      </c>
      <c r="BN14" s="155"/>
    </row>
    <row r="15" spans="1:66" s="53" customFormat="1" ht="15" customHeight="1" x14ac:dyDescent="0.35">
      <c r="A15" s="137" t="str">
        <f>IF(D15="","",Cover!$D$8)</f>
        <v/>
      </c>
      <c r="B15" s="137" t="str">
        <f>IF(D15="","",Cover!$D$7)</f>
        <v/>
      </c>
      <c r="C15" s="138" t="str">
        <f>IF(F15="","",IFERROR(VLOOKUP(F15,'Master Data'!$E$59:$J$144,6,FALSE),0))</f>
        <v/>
      </c>
      <c r="D15" s="139" t="str">
        <f>IF(F15="","",IFERROR(VLOOKUP(F15,'Master Data'!$E$59:$L$147,8,FALSE),0))</f>
        <v/>
      </c>
      <c r="E15" s="138" t="str">
        <f>IF(D15="","",IFERROR(VLOOKUP(D15,'Master Data'!$D$59:$I$147,6,FALSE),0))</f>
        <v/>
      </c>
      <c r="F15" s="140"/>
      <c r="G15" s="141"/>
      <c r="H15" s="142">
        <f>IFERROR(VLOOKUP(G15,'Master Data'!$C$336:$I$353,7,FALSE),0)</f>
        <v>0</v>
      </c>
      <c r="I15" s="143">
        <f>IFERROR(VLOOKUP(H15,'Master Data'!$B$336:$D$351,3,FALSE),0)</f>
        <v>0</v>
      </c>
      <c r="J15" s="144">
        <f>IFERROR(VLOOKUP(H15,'Master Data'!$B$336:$H$353,7,FALSE),0)</f>
        <v>0</v>
      </c>
      <c r="K15" s="145"/>
      <c r="L15" s="146" t="str">
        <f>IFERROR(IF(I15="FIXED ASSET",J15&amp;E15&amp;K15,VLOOKUP(F15,'Master Data'!$E$59:$H$144,4,FALSE)&amp;"-"&amp;J15&amp;"-"&amp;K15),"-")</f>
        <v>-</v>
      </c>
      <c r="M15" s="140"/>
      <c r="N15" s="147"/>
      <c r="O15" s="157"/>
      <c r="P15" s="157"/>
      <c r="Q15" s="157"/>
      <c r="R15" s="157"/>
      <c r="S15" s="157"/>
      <c r="T15" s="157"/>
      <c r="U15" s="157"/>
      <c r="V15" s="157"/>
      <c r="W15" s="157"/>
      <c r="X15" s="157"/>
      <c r="Y15" s="157"/>
      <c r="Z15" s="157"/>
      <c r="AA15" s="149">
        <f t="shared" si="2"/>
        <v>0</v>
      </c>
      <c r="AB15" s="150"/>
      <c r="AC15" s="157"/>
      <c r="AD15" s="157"/>
      <c r="AE15" s="157"/>
      <c r="AF15" s="157"/>
      <c r="AG15" s="157"/>
      <c r="AH15" s="157"/>
      <c r="AI15" s="157"/>
      <c r="AJ15" s="157"/>
      <c r="AK15" s="157"/>
      <c r="AL15" s="157"/>
      <c r="AM15" s="157"/>
      <c r="AN15" s="157"/>
      <c r="AO15" s="149">
        <f t="shared" si="3"/>
        <v>0</v>
      </c>
      <c r="AP15" s="150"/>
      <c r="AQ15" s="157"/>
      <c r="AR15" s="157"/>
      <c r="AS15" s="157"/>
      <c r="AT15" s="157"/>
      <c r="AU15" s="157"/>
      <c r="AV15" s="157"/>
      <c r="AW15" s="157"/>
      <c r="AX15" s="157"/>
      <c r="AY15" s="157"/>
      <c r="AZ15" s="157"/>
      <c r="BA15" s="157"/>
      <c r="BB15" s="157"/>
      <c r="BC15" s="149">
        <f t="shared" si="4"/>
        <v>0</v>
      </c>
      <c r="BD15" s="151">
        <f t="shared" si="5"/>
        <v>0</v>
      </c>
      <c r="BE15" s="141"/>
      <c r="BF15" s="152"/>
      <c r="BG15" s="152"/>
      <c r="BH15" s="152"/>
      <c r="BI15" s="153">
        <f t="shared" si="6"/>
        <v>0</v>
      </c>
      <c r="BJ15" s="152"/>
      <c r="BK15" s="154" t="str">
        <f t="shared" si="0"/>
        <v/>
      </c>
      <c r="BL15" s="154" t="str">
        <f t="shared" si="7"/>
        <v/>
      </c>
      <c r="BM15" s="154" t="str">
        <f t="shared" si="8"/>
        <v/>
      </c>
      <c r="BN15" s="155"/>
    </row>
    <row r="16" spans="1:66" s="53" customFormat="1" ht="15" customHeight="1" x14ac:dyDescent="0.35">
      <c r="A16" s="137" t="str">
        <f>IF(D16="","",Cover!$D$8)</f>
        <v/>
      </c>
      <c r="B16" s="137" t="str">
        <f>IF(D16="","",Cover!$D$7)</f>
        <v/>
      </c>
      <c r="C16" s="138" t="str">
        <f>IF(F16="","",IFERROR(VLOOKUP(F16,'Master Data'!$E$59:$J$144,6,FALSE),0))</f>
        <v/>
      </c>
      <c r="D16" s="139" t="str">
        <f>IF(F16="","",IFERROR(VLOOKUP(F16,'Master Data'!$E$59:$L$147,8,FALSE),0))</f>
        <v/>
      </c>
      <c r="E16" s="138" t="str">
        <f>IF(D16="","",IFERROR(VLOOKUP(D16,'Master Data'!$D$59:$I$147,6,FALSE),0))</f>
        <v/>
      </c>
      <c r="F16" s="140"/>
      <c r="G16" s="141"/>
      <c r="H16" s="142">
        <f>IFERROR(VLOOKUP(G16,'Master Data'!$C$336:$I$353,7,FALSE),0)</f>
        <v>0</v>
      </c>
      <c r="I16" s="143">
        <f>IFERROR(VLOOKUP(H16,'Master Data'!$B$336:$D$351,3,FALSE),0)</f>
        <v>0</v>
      </c>
      <c r="J16" s="144">
        <f>IFERROR(VLOOKUP(H16,'Master Data'!$B$336:$H$353,7,FALSE),0)</f>
        <v>0</v>
      </c>
      <c r="K16" s="145"/>
      <c r="L16" s="146" t="str">
        <f>IFERROR(IF(I16="FIXED ASSET",J16&amp;E16&amp;K16,VLOOKUP(F16,'Master Data'!$E$59:$H$144,4,FALSE)&amp;"-"&amp;J16&amp;"-"&amp;K16),"-")</f>
        <v>-</v>
      </c>
      <c r="M16" s="140"/>
      <c r="N16" s="147"/>
      <c r="O16" s="157"/>
      <c r="P16" s="157"/>
      <c r="Q16" s="157"/>
      <c r="R16" s="157"/>
      <c r="S16" s="157"/>
      <c r="T16" s="157"/>
      <c r="U16" s="157"/>
      <c r="V16" s="157"/>
      <c r="W16" s="157"/>
      <c r="X16" s="157"/>
      <c r="Y16" s="157"/>
      <c r="Z16" s="157"/>
      <c r="AA16" s="149">
        <f t="shared" si="2"/>
        <v>0</v>
      </c>
      <c r="AB16" s="150"/>
      <c r="AC16" s="157"/>
      <c r="AD16" s="157"/>
      <c r="AE16" s="157"/>
      <c r="AF16" s="157"/>
      <c r="AG16" s="157"/>
      <c r="AH16" s="157"/>
      <c r="AI16" s="157"/>
      <c r="AJ16" s="157"/>
      <c r="AK16" s="157"/>
      <c r="AL16" s="157"/>
      <c r="AM16" s="157"/>
      <c r="AN16" s="157"/>
      <c r="AO16" s="149">
        <f t="shared" si="3"/>
        <v>0</v>
      </c>
      <c r="AP16" s="150"/>
      <c r="AQ16" s="157"/>
      <c r="AR16" s="157"/>
      <c r="AS16" s="157"/>
      <c r="AT16" s="157"/>
      <c r="AU16" s="157"/>
      <c r="AV16" s="157"/>
      <c r="AW16" s="157"/>
      <c r="AX16" s="157"/>
      <c r="AY16" s="157"/>
      <c r="AZ16" s="157"/>
      <c r="BA16" s="157"/>
      <c r="BB16" s="157"/>
      <c r="BC16" s="149">
        <f t="shared" si="4"/>
        <v>0</v>
      </c>
      <c r="BD16" s="151">
        <f t="shared" si="5"/>
        <v>0</v>
      </c>
      <c r="BE16" s="141"/>
      <c r="BF16" s="152"/>
      <c r="BG16" s="152"/>
      <c r="BH16" s="152"/>
      <c r="BI16" s="153">
        <f t="shared" si="6"/>
        <v>0</v>
      </c>
      <c r="BJ16" s="152"/>
      <c r="BK16" s="154" t="str">
        <f t="shared" si="0"/>
        <v/>
      </c>
      <c r="BL16" s="154" t="str">
        <f t="shared" si="7"/>
        <v/>
      </c>
      <c r="BM16" s="154" t="str">
        <f t="shared" si="8"/>
        <v/>
      </c>
      <c r="BN16" s="155"/>
    </row>
    <row r="17" spans="1:66" s="53" customFormat="1" ht="15" customHeight="1" x14ac:dyDescent="0.35">
      <c r="A17" s="137" t="str">
        <f>IF(D17="","",Cover!$D$8)</f>
        <v/>
      </c>
      <c r="B17" s="137" t="str">
        <f>IF(D17="","",Cover!$D$7)</f>
        <v/>
      </c>
      <c r="C17" s="138" t="str">
        <f>IF(F17="","",IFERROR(VLOOKUP(F17,'Master Data'!$E$59:$J$144,6,FALSE),0))</f>
        <v/>
      </c>
      <c r="D17" s="139" t="str">
        <f>IF(F17="","",IFERROR(VLOOKUP(F17,'Master Data'!$E$59:$L$147,8,FALSE),0))</f>
        <v/>
      </c>
      <c r="E17" s="138" t="str">
        <f>IF(D17="","",IFERROR(VLOOKUP(D17,'Master Data'!$D$59:$I$147,6,FALSE),0))</f>
        <v/>
      </c>
      <c r="F17" s="140"/>
      <c r="G17" s="141"/>
      <c r="H17" s="142">
        <f>IFERROR(VLOOKUP(G17,'Master Data'!$C$336:$I$353,7,FALSE),0)</f>
        <v>0</v>
      </c>
      <c r="I17" s="143">
        <f>IFERROR(VLOOKUP(H17,'Master Data'!$B$336:$D$351,3,FALSE),0)</f>
        <v>0</v>
      </c>
      <c r="J17" s="144">
        <f>IFERROR(VLOOKUP(H17,'Master Data'!$B$336:$H$353,7,FALSE),0)</f>
        <v>0</v>
      </c>
      <c r="K17" s="145"/>
      <c r="L17" s="146" t="str">
        <f>IFERROR(IF(I17="FIXED ASSET",J17&amp;E17&amp;K17,VLOOKUP(F17,'Master Data'!$E$59:$H$144,4,FALSE)&amp;"-"&amp;J17&amp;"-"&amp;K17),"-")</f>
        <v>-</v>
      </c>
      <c r="M17" s="140"/>
      <c r="N17" s="147"/>
      <c r="O17" s="157"/>
      <c r="P17" s="157"/>
      <c r="Q17" s="157"/>
      <c r="R17" s="157"/>
      <c r="S17" s="157"/>
      <c r="T17" s="157"/>
      <c r="U17" s="157"/>
      <c r="V17" s="157"/>
      <c r="W17" s="157"/>
      <c r="X17" s="157"/>
      <c r="Y17" s="157"/>
      <c r="Z17" s="157"/>
      <c r="AA17" s="149">
        <f t="shared" si="2"/>
        <v>0</v>
      </c>
      <c r="AB17" s="150"/>
      <c r="AC17" s="157"/>
      <c r="AD17" s="157"/>
      <c r="AE17" s="157"/>
      <c r="AF17" s="157"/>
      <c r="AG17" s="157"/>
      <c r="AH17" s="157"/>
      <c r="AI17" s="157"/>
      <c r="AJ17" s="157"/>
      <c r="AK17" s="157"/>
      <c r="AL17" s="157"/>
      <c r="AM17" s="157"/>
      <c r="AN17" s="157"/>
      <c r="AO17" s="149">
        <f t="shared" si="3"/>
        <v>0</v>
      </c>
      <c r="AP17" s="150"/>
      <c r="AQ17" s="157"/>
      <c r="AR17" s="157"/>
      <c r="AS17" s="157"/>
      <c r="AT17" s="157"/>
      <c r="AU17" s="157"/>
      <c r="AV17" s="157"/>
      <c r="AW17" s="157"/>
      <c r="AX17" s="157"/>
      <c r="AY17" s="157"/>
      <c r="AZ17" s="157"/>
      <c r="BA17" s="157"/>
      <c r="BB17" s="157"/>
      <c r="BC17" s="149">
        <f t="shared" si="4"/>
        <v>0</v>
      </c>
      <c r="BD17" s="151">
        <f t="shared" si="5"/>
        <v>0</v>
      </c>
      <c r="BE17" s="141"/>
      <c r="BF17" s="152"/>
      <c r="BG17" s="152"/>
      <c r="BH17" s="152"/>
      <c r="BI17" s="153">
        <f t="shared" si="6"/>
        <v>0</v>
      </c>
      <c r="BJ17" s="152"/>
      <c r="BK17" s="154" t="str">
        <f t="shared" si="0"/>
        <v/>
      </c>
      <c r="BL17" s="154" t="str">
        <f t="shared" si="7"/>
        <v/>
      </c>
      <c r="BM17" s="154" t="str">
        <f t="shared" si="8"/>
        <v/>
      </c>
      <c r="BN17" s="155"/>
    </row>
    <row r="18" spans="1:66" s="53" customFormat="1" ht="15" customHeight="1" x14ac:dyDescent="0.35">
      <c r="A18" s="137" t="str">
        <f>IF(D18="","",Cover!$D$8)</f>
        <v/>
      </c>
      <c r="B18" s="137" t="str">
        <f>IF(D18="","",Cover!$D$7)</f>
        <v/>
      </c>
      <c r="C18" s="138" t="str">
        <f>IF(F18="","",IFERROR(VLOOKUP(F18,'Master Data'!$E$59:$J$144,6,FALSE),0))</f>
        <v/>
      </c>
      <c r="D18" s="139" t="str">
        <f>IF(F18="","",IFERROR(VLOOKUP(F18,'Master Data'!$E$59:$L$147,8,FALSE),0))</f>
        <v/>
      </c>
      <c r="E18" s="138" t="str">
        <f>IF(D18="","",IFERROR(VLOOKUP(D18,'Master Data'!$D$59:$I$147,6,FALSE),0))</f>
        <v/>
      </c>
      <c r="F18" s="140"/>
      <c r="G18" s="141"/>
      <c r="H18" s="142">
        <f>IFERROR(VLOOKUP(G18,'Master Data'!$C$336:$I$353,7,FALSE),0)</f>
        <v>0</v>
      </c>
      <c r="I18" s="143">
        <f>IFERROR(VLOOKUP(H18,'Master Data'!$B$336:$D$351,3,FALSE),0)</f>
        <v>0</v>
      </c>
      <c r="J18" s="144">
        <f>IFERROR(VLOOKUP(H18,'Master Data'!$B$336:$H$353,7,FALSE),0)</f>
        <v>0</v>
      </c>
      <c r="K18" s="145"/>
      <c r="L18" s="146" t="str">
        <f>IFERROR(IF(I18="FIXED ASSET",J18&amp;E18&amp;K18,VLOOKUP(F18,'Master Data'!$E$59:$H$144,4,FALSE)&amp;"-"&amp;J18&amp;"-"&amp;K18),"-")</f>
        <v>-</v>
      </c>
      <c r="M18" s="140"/>
      <c r="N18" s="147"/>
      <c r="O18" s="157"/>
      <c r="P18" s="157"/>
      <c r="Q18" s="157"/>
      <c r="R18" s="157"/>
      <c r="S18" s="157"/>
      <c r="T18" s="157"/>
      <c r="U18" s="157"/>
      <c r="V18" s="157"/>
      <c r="W18" s="157"/>
      <c r="X18" s="157"/>
      <c r="Y18" s="157"/>
      <c r="Z18" s="157"/>
      <c r="AA18" s="149">
        <f t="shared" si="2"/>
        <v>0</v>
      </c>
      <c r="AB18" s="150"/>
      <c r="AC18" s="157"/>
      <c r="AD18" s="157"/>
      <c r="AE18" s="157"/>
      <c r="AF18" s="157"/>
      <c r="AG18" s="157"/>
      <c r="AH18" s="157"/>
      <c r="AI18" s="157"/>
      <c r="AJ18" s="157"/>
      <c r="AK18" s="157"/>
      <c r="AL18" s="157"/>
      <c r="AM18" s="157"/>
      <c r="AN18" s="157"/>
      <c r="AO18" s="149">
        <f t="shared" si="3"/>
        <v>0</v>
      </c>
      <c r="AP18" s="150"/>
      <c r="AQ18" s="157"/>
      <c r="AR18" s="157"/>
      <c r="AS18" s="157"/>
      <c r="AT18" s="157"/>
      <c r="AU18" s="157"/>
      <c r="AV18" s="157"/>
      <c r="AW18" s="157"/>
      <c r="AX18" s="157"/>
      <c r="AY18" s="157"/>
      <c r="AZ18" s="157"/>
      <c r="BA18" s="157"/>
      <c r="BB18" s="157"/>
      <c r="BC18" s="149">
        <f t="shared" si="4"/>
        <v>0</v>
      </c>
      <c r="BD18" s="151">
        <f t="shared" si="5"/>
        <v>0</v>
      </c>
      <c r="BE18" s="141"/>
      <c r="BF18" s="152"/>
      <c r="BG18" s="152"/>
      <c r="BH18" s="152"/>
      <c r="BI18" s="153">
        <f t="shared" si="6"/>
        <v>0</v>
      </c>
      <c r="BJ18" s="152"/>
      <c r="BK18" s="154" t="str">
        <f t="shared" si="0"/>
        <v/>
      </c>
      <c r="BL18" s="154" t="str">
        <f t="shared" si="7"/>
        <v/>
      </c>
      <c r="BM18" s="154" t="str">
        <f t="shared" si="8"/>
        <v/>
      </c>
      <c r="BN18" s="155"/>
    </row>
    <row r="19" spans="1:66" s="53" customFormat="1" ht="15" customHeight="1" x14ac:dyDescent="0.35">
      <c r="A19" s="137" t="str">
        <f>IF(D19="","",Cover!$D$8)</f>
        <v/>
      </c>
      <c r="B19" s="137" t="str">
        <f>IF(D19="","",Cover!$D$7)</f>
        <v/>
      </c>
      <c r="C19" s="138" t="str">
        <f>IF(F19="","",IFERROR(VLOOKUP(F19,'Master Data'!$E$59:$J$144,6,FALSE),0))</f>
        <v/>
      </c>
      <c r="D19" s="139" t="str">
        <f>IF(F19="","",IFERROR(VLOOKUP(F19,'Master Data'!$E$59:$L$147,8,FALSE),0))</f>
        <v/>
      </c>
      <c r="E19" s="138" t="str">
        <f>IF(D19="","",IFERROR(VLOOKUP(D19,'Master Data'!$D$59:$I$147,6,FALSE),0))</f>
        <v/>
      </c>
      <c r="F19" s="140"/>
      <c r="G19" s="141"/>
      <c r="H19" s="142">
        <f>IFERROR(VLOOKUP(G19,'Master Data'!$C$336:$I$353,7,FALSE),0)</f>
        <v>0</v>
      </c>
      <c r="I19" s="143">
        <f>IFERROR(VLOOKUP(H19,'Master Data'!$B$336:$D$351,3,FALSE),0)</f>
        <v>0</v>
      </c>
      <c r="J19" s="144">
        <f>IFERROR(VLOOKUP(H19,'Master Data'!$B$336:$H$353,7,FALSE),0)</f>
        <v>0</v>
      </c>
      <c r="K19" s="145"/>
      <c r="L19" s="146" t="str">
        <f>IFERROR(IF(I19="FIXED ASSET",J19&amp;E19&amp;K19,VLOOKUP(F19,'Master Data'!$E$59:$H$144,4,FALSE)&amp;"-"&amp;J19&amp;"-"&amp;K19),"-")</f>
        <v>-</v>
      </c>
      <c r="M19" s="140"/>
      <c r="N19" s="147"/>
      <c r="O19" s="157"/>
      <c r="P19" s="157"/>
      <c r="Q19" s="157"/>
      <c r="R19" s="157"/>
      <c r="S19" s="157"/>
      <c r="T19" s="157"/>
      <c r="U19" s="157"/>
      <c r="V19" s="157"/>
      <c r="W19" s="157"/>
      <c r="X19" s="157"/>
      <c r="Y19" s="157"/>
      <c r="Z19" s="157"/>
      <c r="AA19" s="149">
        <f t="shared" si="2"/>
        <v>0</v>
      </c>
      <c r="AB19" s="150"/>
      <c r="AC19" s="157"/>
      <c r="AD19" s="157"/>
      <c r="AE19" s="157"/>
      <c r="AF19" s="157"/>
      <c r="AG19" s="157"/>
      <c r="AH19" s="157"/>
      <c r="AI19" s="157"/>
      <c r="AJ19" s="157"/>
      <c r="AK19" s="157"/>
      <c r="AL19" s="157"/>
      <c r="AM19" s="157"/>
      <c r="AN19" s="157"/>
      <c r="AO19" s="149">
        <f t="shared" si="3"/>
        <v>0</v>
      </c>
      <c r="AP19" s="150"/>
      <c r="AQ19" s="157"/>
      <c r="AR19" s="157"/>
      <c r="AS19" s="157"/>
      <c r="AT19" s="157"/>
      <c r="AU19" s="157"/>
      <c r="AV19" s="157"/>
      <c r="AW19" s="157"/>
      <c r="AX19" s="157"/>
      <c r="AY19" s="157"/>
      <c r="AZ19" s="157"/>
      <c r="BA19" s="157"/>
      <c r="BB19" s="157"/>
      <c r="BC19" s="149">
        <f t="shared" si="4"/>
        <v>0</v>
      </c>
      <c r="BD19" s="151">
        <f t="shared" si="5"/>
        <v>0</v>
      </c>
      <c r="BE19" s="141"/>
      <c r="BF19" s="152"/>
      <c r="BG19" s="152"/>
      <c r="BH19" s="152"/>
      <c r="BI19" s="153">
        <f t="shared" si="6"/>
        <v>0</v>
      </c>
      <c r="BJ19" s="152"/>
      <c r="BK19" s="154" t="str">
        <f t="shared" si="0"/>
        <v/>
      </c>
      <c r="BL19" s="154" t="str">
        <f t="shared" si="7"/>
        <v/>
      </c>
      <c r="BM19" s="154" t="str">
        <f t="shared" si="8"/>
        <v/>
      </c>
      <c r="BN19" s="155"/>
    </row>
    <row r="20" spans="1:66" s="53" customFormat="1" ht="15" customHeight="1" x14ac:dyDescent="0.35">
      <c r="A20" s="137" t="str">
        <f>IF(D20="","",Cover!$D$8)</f>
        <v/>
      </c>
      <c r="B20" s="137" t="str">
        <f>IF(D20="","",Cover!$D$7)</f>
        <v/>
      </c>
      <c r="C20" s="138" t="str">
        <f>IF(F20="","",IFERROR(VLOOKUP(F20,'Master Data'!$E$59:$J$144,6,FALSE),0))</f>
        <v/>
      </c>
      <c r="D20" s="139" t="str">
        <f>IF(F20="","",IFERROR(VLOOKUP(F20,'Master Data'!$E$59:$L$147,8,FALSE),0))</f>
        <v/>
      </c>
      <c r="E20" s="138" t="str">
        <f>IF(D20="","",IFERROR(VLOOKUP(D20,'Master Data'!$D$59:$I$147,6,FALSE),0))</f>
        <v/>
      </c>
      <c r="F20" s="140"/>
      <c r="G20" s="141"/>
      <c r="H20" s="142">
        <f>IFERROR(VLOOKUP(G20,'Master Data'!$C$336:$I$353,7,FALSE),0)</f>
        <v>0</v>
      </c>
      <c r="I20" s="143">
        <f>IFERROR(VLOOKUP(H20,'Master Data'!$B$336:$D$351,3,FALSE),0)</f>
        <v>0</v>
      </c>
      <c r="J20" s="144">
        <f>IFERROR(VLOOKUP(H20,'Master Data'!$B$336:$H$353,7,FALSE),0)</f>
        <v>0</v>
      </c>
      <c r="K20" s="145"/>
      <c r="L20" s="146" t="str">
        <f>IFERROR(IF(I20="FIXED ASSET",J20&amp;E20&amp;K20,VLOOKUP(F20,'Master Data'!$E$59:$H$144,4,FALSE)&amp;"-"&amp;J20&amp;"-"&amp;K20),"-")</f>
        <v>-</v>
      </c>
      <c r="M20" s="140"/>
      <c r="N20" s="147"/>
      <c r="O20" s="157"/>
      <c r="P20" s="157"/>
      <c r="Q20" s="157"/>
      <c r="R20" s="157"/>
      <c r="S20" s="157"/>
      <c r="T20" s="157"/>
      <c r="U20" s="157"/>
      <c r="V20" s="157"/>
      <c r="W20" s="157"/>
      <c r="X20" s="157"/>
      <c r="Y20" s="157"/>
      <c r="Z20" s="157"/>
      <c r="AA20" s="149">
        <f t="shared" si="2"/>
        <v>0</v>
      </c>
      <c r="AB20" s="150"/>
      <c r="AC20" s="157"/>
      <c r="AD20" s="157"/>
      <c r="AE20" s="157"/>
      <c r="AF20" s="157"/>
      <c r="AG20" s="157"/>
      <c r="AH20" s="157"/>
      <c r="AI20" s="157"/>
      <c r="AJ20" s="157"/>
      <c r="AK20" s="157"/>
      <c r="AL20" s="157"/>
      <c r="AM20" s="157"/>
      <c r="AN20" s="157"/>
      <c r="AO20" s="149">
        <f t="shared" si="3"/>
        <v>0</v>
      </c>
      <c r="AP20" s="150"/>
      <c r="AQ20" s="157"/>
      <c r="AR20" s="157"/>
      <c r="AS20" s="157"/>
      <c r="AT20" s="157"/>
      <c r="AU20" s="157"/>
      <c r="AV20" s="157"/>
      <c r="AW20" s="157"/>
      <c r="AX20" s="157"/>
      <c r="AY20" s="157"/>
      <c r="AZ20" s="157"/>
      <c r="BA20" s="157"/>
      <c r="BB20" s="157"/>
      <c r="BC20" s="149">
        <f t="shared" si="4"/>
        <v>0</v>
      </c>
      <c r="BD20" s="151">
        <f t="shared" si="5"/>
        <v>0</v>
      </c>
      <c r="BE20" s="141"/>
      <c r="BF20" s="152"/>
      <c r="BG20" s="152"/>
      <c r="BH20" s="152"/>
      <c r="BI20" s="153">
        <f t="shared" si="6"/>
        <v>0</v>
      </c>
      <c r="BJ20" s="152"/>
      <c r="BK20" s="154" t="str">
        <f t="shared" ref="BK20:BK56" si="9">IF($I20="PROJECT","Please Fill Start Date","")</f>
        <v/>
      </c>
      <c r="BL20" s="154" t="str">
        <f t="shared" si="7"/>
        <v/>
      </c>
      <c r="BM20" s="154" t="str">
        <f t="shared" si="8"/>
        <v/>
      </c>
      <c r="BN20" s="155"/>
    </row>
    <row r="21" spans="1:66" s="53" customFormat="1" ht="15" customHeight="1" x14ac:dyDescent="0.35">
      <c r="A21" s="137" t="str">
        <f>IF(D21="","",Cover!$D$8)</f>
        <v/>
      </c>
      <c r="B21" s="137" t="str">
        <f>IF(D21="","",Cover!$D$7)</f>
        <v/>
      </c>
      <c r="C21" s="138" t="str">
        <f>IF(F21="","",IFERROR(VLOOKUP(F21,'Master Data'!$E$59:$J$144,6,FALSE),0))</f>
        <v/>
      </c>
      <c r="D21" s="139" t="str">
        <f>IF(F21="","",IFERROR(VLOOKUP(F21,'Master Data'!$E$59:$L$147,8,FALSE),0))</f>
        <v/>
      </c>
      <c r="E21" s="138" t="str">
        <f>IF(D21="","",IFERROR(VLOOKUP(D21,'Master Data'!$D$59:$I$147,6,FALSE),0))</f>
        <v/>
      </c>
      <c r="F21" s="140"/>
      <c r="G21" s="141"/>
      <c r="H21" s="142">
        <f>IFERROR(VLOOKUP(G21,'Master Data'!$C$336:$I$353,7,FALSE),0)</f>
        <v>0</v>
      </c>
      <c r="I21" s="143">
        <f>IFERROR(VLOOKUP(H21,'Master Data'!$B$336:$D$351,3,FALSE),0)</f>
        <v>0</v>
      </c>
      <c r="J21" s="144">
        <f>IFERROR(VLOOKUP(H21,'Master Data'!$B$336:$H$353,7,FALSE),0)</f>
        <v>0</v>
      </c>
      <c r="K21" s="145"/>
      <c r="L21" s="146" t="str">
        <f>IFERROR(IF(I21="FIXED ASSET",J21&amp;E21&amp;K21,VLOOKUP(F21,'Master Data'!$E$59:$H$144,4,FALSE)&amp;"-"&amp;J21&amp;"-"&amp;K21),"-")</f>
        <v>-</v>
      </c>
      <c r="M21" s="140"/>
      <c r="N21" s="147"/>
      <c r="O21" s="157"/>
      <c r="P21" s="157"/>
      <c r="Q21" s="157"/>
      <c r="R21" s="157"/>
      <c r="S21" s="157"/>
      <c r="T21" s="157"/>
      <c r="U21" s="157"/>
      <c r="V21" s="157"/>
      <c r="W21" s="157"/>
      <c r="X21" s="157"/>
      <c r="Y21" s="157"/>
      <c r="Z21" s="157"/>
      <c r="AA21" s="149">
        <f t="shared" si="2"/>
        <v>0</v>
      </c>
      <c r="AB21" s="150"/>
      <c r="AC21" s="157"/>
      <c r="AD21" s="157"/>
      <c r="AE21" s="157"/>
      <c r="AF21" s="157"/>
      <c r="AG21" s="157"/>
      <c r="AH21" s="157"/>
      <c r="AI21" s="157"/>
      <c r="AJ21" s="157"/>
      <c r="AK21" s="157"/>
      <c r="AL21" s="157"/>
      <c r="AM21" s="157"/>
      <c r="AN21" s="157"/>
      <c r="AO21" s="149">
        <f t="shared" si="3"/>
        <v>0</v>
      </c>
      <c r="AP21" s="150"/>
      <c r="AQ21" s="157"/>
      <c r="AR21" s="157"/>
      <c r="AS21" s="157"/>
      <c r="AT21" s="157"/>
      <c r="AU21" s="157"/>
      <c r="AV21" s="157"/>
      <c r="AW21" s="157"/>
      <c r="AX21" s="157"/>
      <c r="AY21" s="157"/>
      <c r="AZ21" s="157"/>
      <c r="BA21" s="157"/>
      <c r="BB21" s="157"/>
      <c r="BC21" s="149">
        <f t="shared" si="4"/>
        <v>0</v>
      </c>
      <c r="BD21" s="151">
        <f t="shared" si="5"/>
        <v>0</v>
      </c>
      <c r="BE21" s="141"/>
      <c r="BF21" s="152"/>
      <c r="BG21" s="152"/>
      <c r="BH21" s="152"/>
      <c r="BI21" s="153">
        <f t="shared" si="6"/>
        <v>0</v>
      </c>
      <c r="BJ21" s="152"/>
      <c r="BK21" s="154" t="str">
        <f t="shared" si="9"/>
        <v/>
      </c>
      <c r="BL21" s="154" t="str">
        <f t="shared" si="7"/>
        <v/>
      </c>
      <c r="BM21" s="154" t="str">
        <f t="shared" si="8"/>
        <v/>
      </c>
      <c r="BN21" s="155"/>
    </row>
    <row r="22" spans="1:66" s="53" customFormat="1" ht="15" customHeight="1" x14ac:dyDescent="0.35">
      <c r="A22" s="137" t="str">
        <f>IF(D22="","",Cover!$D$8)</f>
        <v/>
      </c>
      <c r="B22" s="137" t="str">
        <f>IF(D22="","",Cover!$D$7)</f>
        <v/>
      </c>
      <c r="C22" s="138" t="str">
        <f>IF(F22="","",IFERROR(VLOOKUP(F22,'Master Data'!$E$59:$J$144,6,FALSE),0))</f>
        <v/>
      </c>
      <c r="D22" s="139" t="str">
        <f>IF(F22="","",IFERROR(VLOOKUP(F22,'Master Data'!$E$59:$L$147,8,FALSE),0))</f>
        <v/>
      </c>
      <c r="E22" s="138" t="str">
        <f>IF(D22="","",IFERROR(VLOOKUP(D22,'Master Data'!$D$59:$I$147,6,FALSE),0))</f>
        <v/>
      </c>
      <c r="F22" s="140"/>
      <c r="G22" s="141"/>
      <c r="H22" s="142">
        <f>IFERROR(VLOOKUP(G22,'Master Data'!$C$336:$I$353,7,FALSE),0)</f>
        <v>0</v>
      </c>
      <c r="I22" s="143">
        <f>IFERROR(VLOOKUP(H22,'Master Data'!$B$336:$D$351,3,FALSE),0)</f>
        <v>0</v>
      </c>
      <c r="J22" s="144">
        <f>IFERROR(VLOOKUP(H22,'Master Data'!$B$336:$H$353,7,FALSE),0)</f>
        <v>0</v>
      </c>
      <c r="K22" s="145"/>
      <c r="L22" s="146" t="str">
        <f>IFERROR(IF(I22="FIXED ASSET",J22&amp;E22&amp;K22,VLOOKUP(F22,'Master Data'!$E$59:$H$144,4,FALSE)&amp;"-"&amp;J22&amp;"-"&amp;K22),"-")</f>
        <v>-</v>
      </c>
      <c r="M22" s="140"/>
      <c r="N22" s="147"/>
      <c r="O22" s="157"/>
      <c r="P22" s="157"/>
      <c r="Q22" s="157"/>
      <c r="R22" s="157"/>
      <c r="S22" s="157"/>
      <c r="T22" s="157"/>
      <c r="U22" s="157"/>
      <c r="V22" s="157"/>
      <c r="W22" s="157"/>
      <c r="X22" s="157"/>
      <c r="Y22" s="157"/>
      <c r="Z22" s="157"/>
      <c r="AA22" s="149">
        <f t="shared" si="2"/>
        <v>0</v>
      </c>
      <c r="AB22" s="150"/>
      <c r="AC22" s="157"/>
      <c r="AD22" s="157"/>
      <c r="AE22" s="157"/>
      <c r="AF22" s="157"/>
      <c r="AG22" s="157"/>
      <c r="AH22" s="157"/>
      <c r="AI22" s="157"/>
      <c r="AJ22" s="157"/>
      <c r="AK22" s="157"/>
      <c r="AL22" s="157"/>
      <c r="AM22" s="157"/>
      <c r="AN22" s="157"/>
      <c r="AO22" s="149">
        <f t="shared" si="3"/>
        <v>0</v>
      </c>
      <c r="AP22" s="150"/>
      <c r="AQ22" s="157"/>
      <c r="AR22" s="157"/>
      <c r="AS22" s="157"/>
      <c r="AT22" s="157"/>
      <c r="AU22" s="157"/>
      <c r="AV22" s="157"/>
      <c r="AW22" s="157"/>
      <c r="AX22" s="157"/>
      <c r="AY22" s="157"/>
      <c r="AZ22" s="157"/>
      <c r="BA22" s="157"/>
      <c r="BB22" s="157"/>
      <c r="BC22" s="149">
        <f t="shared" si="4"/>
        <v>0</v>
      </c>
      <c r="BD22" s="151">
        <f t="shared" si="5"/>
        <v>0</v>
      </c>
      <c r="BE22" s="141"/>
      <c r="BF22" s="152"/>
      <c r="BG22" s="152"/>
      <c r="BH22" s="152"/>
      <c r="BI22" s="153">
        <f t="shared" si="6"/>
        <v>0</v>
      </c>
      <c r="BJ22" s="152"/>
      <c r="BK22" s="154" t="str">
        <f t="shared" si="9"/>
        <v/>
      </c>
      <c r="BL22" s="154" t="str">
        <f t="shared" si="7"/>
        <v/>
      </c>
      <c r="BM22" s="154" t="str">
        <f t="shared" si="8"/>
        <v/>
      </c>
      <c r="BN22" s="155"/>
    </row>
    <row r="23" spans="1:66" s="53" customFormat="1" ht="15" customHeight="1" x14ac:dyDescent="0.35">
      <c r="A23" s="137" t="str">
        <f>IF(D23="","",Cover!$D$8)</f>
        <v/>
      </c>
      <c r="B23" s="137" t="str">
        <f>IF(D23="","",Cover!$D$7)</f>
        <v/>
      </c>
      <c r="C23" s="138" t="str">
        <f>IF(F23="","",IFERROR(VLOOKUP(F23,'Master Data'!$E$59:$J$144,6,FALSE),0))</f>
        <v/>
      </c>
      <c r="D23" s="139" t="str">
        <f>IF(F23="","",IFERROR(VLOOKUP(F23,'Master Data'!$E$59:$L$147,8,FALSE),0))</f>
        <v/>
      </c>
      <c r="E23" s="138" t="str">
        <f>IF(D23="","",IFERROR(VLOOKUP(D23,'Master Data'!$D$59:$I$147,6,FALSE),0))</f>
        <v/>
      </c>
      <c r="F23" s="140"/>
      <c r="G23" s="141"/>
      <c r="H23" s="142">
        <f>IFERROR(VLOOKUP(G23,'Master Data'!$C$336:$I$353,7,FALSE),0)</f>
        <v>0</v>
      </c>
      <c r="I23" s="143">
        <f>IFERROR(VLOOKUP(H23,'Master Data'!$B$336:$D$351,3,FALSE),0)</f>
        <v>0</v>
      </c>
      <c r="J23" s="144">
        <f>IFERROR(VLOOKUP(H23,'Master Data'!$B$336:$H$353,7,FALSE),0)</f>
        <v>0</v>
      </c>
      <c r="K23" s="145"/>
      <c r="L23" s="146" t="str">
        <f>IFERROR(IF(I23="FIXED ASSET",J23&amp;E23&amp;K23,VLOOKUP(F23,'Master Data'!$E$59:$H$144,4,FALSE)&amp;"-"&amp;J23&amp;"-"&amp;K23),"-")</f>
        <v>-</v>
      </c>
      <c r="M23" s="140"/>
      <c r="N23" s="147"/>
      <c r="O23" s="157"/>
      <c r="P23" s="157"/>
      <c r="Q23" s="157"/>
      <c r="R23" s="157"/>
      <c r="S23" s="157"/>
      <c r="T23" s="157"/>
      <c r="U23" s="157"/>
      <c r="V23" s="157"/>
      <c r="W23" s="157"/>
      <c r="X23" s="157"/>
      <c r="Y23" s="157"/>
      <c r="Z23" s="157"/>
      <c r="AA23" s="149">
        <f t="shared" si="2"/>
        <v>0</v>
      </c>
      <c r="AB23" s="150"/>
      <c r="AC23" s="157"/>
      <c r="AD23" s="157"/>
      <c r="AE23" s="157"/>
      <c r="AF23" s="157"/>
      <c r="AG23" s="157"/>
      <c r="AH23" s="157"/>
      <c r="AI23" s="157"/>
      <c r="AJ23" s="157"/>
      <c r="AK23" s="157"/>
      <c r="AL23" s="157"/>
      <c r="AM23" s="157"/>
      <c r="AN23" s="157"/>
      <c r="AO23" s="149">
        <f t="shared" si="3"/>
        <v>0</v>
      </c>
      <c r="AP23" s="150"/>
      <c r="AQ23" s="157"/>
      <c r="AR23" s="157"/>
      <c r="AS23" s="157"/>
      <c r="AT23" s="157"/>
      <c r="AU23" s="157"/>
      <c r="AV23" s="157"/>
      <c r="AW23" s="157"/>
      <c r="AX23" s="157"/>
      <c r="AY23" s="157"/>
      <c r="AZ23" s="157"/>
      <c r="BA23" s="157"/>
      <c r="BB23" s="157"/>
      <c r="BC23" s="149">
        <f t="shared" si="4"/>
        <v>0</v>
      </c>
      <c r="BD23" s="151">
        <f t="shared" si="5"/>
        <v>0</v>
      </c>
      <c r="BE23" s="141"/>
      <c r="BF23" s="152"/>
      <c r="BG23" s="152"/>
      <c r="BH23" s="152"/>
      <c r="BI23" s="153">
        <f t="shared" si="6"/>
        <v>0</v>
      </c>
      <c r="BJ23" s="152"/>
      <c r="BK23" s="154" t="str">
        <f t="shared" si="9"/>
        <v/>
      </c>
      <c r="BL23" s="154" t="str">
        <f t="shared" si="7"/>
        <v/>
      </c>
      <c r="BM23" s="154" t="str">
        <f t="shared" si="8"/>
        <v/>
      </c>
      <c r="BN23" s="155"/>
    </row>
    <row r="24" spans="1:66" s="53" customFormat="1" ht="15" customHeight="1" x14ac:dyDescent="0.35">
      <c r="A24" s="137" t="str">
        <f>IF(D24="","",Cover!$D$8)</f>
        <v/>
      </c>
      <c r="B24" s="137" t="str">
        <f>IF(D24="","",Cover!$D$7)</f>
        <v/>
      </c>
      <c r="C24" s="138" t="str">
        <f>IF(F24="","",IFERROR(VLOOKUP(F24,'Master Data'!$E$59:$J$144,6,FALSE),0))</f>
        <v/>
      </c>
      <c r="D24" s="139" t="str">
        <f>IF(F24="","",IFERROR(VLOOKUP(F24,'Master Data'!$E$59:$L$147,8,FALSE),0))</f>
        <v/>
      </c>
      <c r="E24" s="138" t="str">
        <f>IF(D24="","",IFERROR(VLOOKUP(D24,'Master Data'!$D$59:$I$147,6,FALSE),0))</f>
        <v/>
      </c>
      <c r="F24" s="140"/>
      <c r="G24" s="141"/>
      <c r="H24" s="142">
        <f>IFERROR(VLOOKUP(G24,'Master Data'!$C$336:$I$353,7,FALSE),0)</f>
        <v>0</v>
      </c>
      <c r="I24" s="143">
        <f>IFERROR(VLOOKUP(H24,'Master Data'!$B$336:$D$351,3,FALSE),0)</f>
        <v>0</v>
      </c>
      <c r="J24" s="144">
        <f>IFERROR(VLOOKUP(H24,'Master Data'!$B$336:$H$353,7,FALSE),0)</f>
        <v>0</v>
      </c>
      <c r="K24" s="145"/>
      <c r="L24" s="146" t="str">
        <f>IFERROR(IF(I24="FIXED ASSET",J24&amp;E24&amp;K24,VLOOKUP(F24,'Master Data'!$E$59:$H$144,4,FALSE)&amp;"-"&amp;J24&amp;"-"&amp;K24),"-")</f>
        <v>-</v>
      </c>
      <c r="M24" s="140"/>
      <c r="N24" s="147"/>
      <c r="O24" s="157"/>
      <c r="P24" s="157"/>
      <c r="Q24" s="157"/>
      <c r="R24" s="157"/>
      <c r="S24" s="157"/>
      <c r="T24" s="157"/>
      <c r="U24" s="157"/>
      <c r="V24" s="157"/>
      <c r="W24" s="157"/>
      <c r="X24" s="157"/>
      <c r="Y24" s="157"/>
      <c r="Z24" s="157"/>
      <c r="AA24" s="149">
        <f t="shared" si="2"/>
        <v>0</v>
      </c>
      <c r="AB24" s="150"/>
      <c r="AC24" s="157"/>
      <c r="AD24" s="157"/>
      <c r="AE24" s="157"/>
      <c r="AF24" s="157"/>
      <c r="AG24" s="157"/>
      <c r="AH24" s="157"/>
      <c r="AI24" s="157"/>
      <c r="AJ24" s="157"/>
      <c r="AK24" s="157"/>
      <c r="AL24" s="157"/>
      <c r="AM24" s="157"/>
      <c r="AN24" s="157"/>
      <c r="AO24" s="149">
        <f t="shared" si="3"/>
        <v>0</v>
      </c>
      <c r="AP24" s="150"/>
      <c r="AQ24" s="157"/>
      <c r="AR24" s="157"/>
      <c r="AS24" s="157"/>
      <c r="AT24" s="157"/>
      <c r="AU24" s="157"/>
      <c r="AV24" s="157"/>
      <c r="AW24" s="157"/>
      <c r="AX24" s="157"/>
      <c r="AY24" s="157"/>
      <c r="AZ24" s="157"/>
      <c r="BA24" s="157"/>
      <c r="BB24" s="157"/>
      <c r="BC24" s="149">
        <f t="shared" si="4"/>
        <v>0</v>
      </c>
      <c r="BD24" s="151">
        <f t="shared" si="5"/>
        <v>0</v>
      </c>
      <c r="BE24" s="141"/>
      <c r="BF24" s="152"/>
      <c r="BG24" s="152"/>
      <c r="BH24" s="152"/>
      <c r="BI24" s="153">
        <f t="shared" si="6"/>
        <v>0</v>
      </c>
      <c r="BJ24" s="152"/>
      <c r="BK24" s="154" t="str">
        <f t="shared" si="9"/>
        <v/>
      </c>
      <c r="BL24" s="154" t="str">
        <f t="shared" si="7"/>
        <v/>
      </c>
      <c r="BM24" s="154" t="str">
        <f t="shared" si="8"/>
        <v/>
      </c>
      <c r="BN24" s="155"/>
    </row>
    <row r="25" spans="1:66" ht="15" customHeight="1" x14ac:dyDescent="0.35">
      <c r="A25" s="137" t="str">
        <f>IF(D25="","",Cover!$D$8)</f>
        <v/>
      </c>
      <c r="B25" s="137" t="str">
        <f>IF(D25="","",Cover!$D$7)</f>
        <v/>
      </c>
      <c r="C25" s="138" t="str">
        <f>IF(F25="","",IFERROR(VLOOKUP(F25,'Master Data'!$E$59:$J$144,6,FALSE),0))</f>
        <v/>
      </c>
      <c r="D25" s="139" t="str">
        <f>IF(F25="","",IFERROR(VLOOKUP(F25,'Master Data'!$E$59:$L$147,8,FALSE),0))</f>
        <v/>
      </c>
      <c r="E25" s="138" t="str">
        <f>IF(D25="","",IFERROR(VLOOKUP(D25,'Master Data'!$D$59:$I$147,6,FALSE),0))</f>
        <v/>
      </c>
      <c r="F25" s="140"/>
      <c r="G25" s="141"/>
      <c r="H25" s="142">
        <f>IFERROR(VLOOKUP(G25,'Master Data'!$C$336:$I$353,7,FALSE),0)</f>
        <v>0</v>
      </c>
      <c r="I25" s="143">
        <f>IFERROR(VLOOKUP(H25,'Master Data'!$B$336:$D$351,3,FALSE),0)</f>
        <v>0</v>
      </c>
      <c r="J25" s="144">
        <f>IFERROR(VLOOKUP(H25,'Master Data'!$B$336:$H$353,7,FALSE),0)</f>
        <v>0</v>
      </c>
      <c r="K25" s="145"/>
      <c r="L25" s="146" t="str">
        <f>IFERROR(IF(I25="FIXED ASSET",J25&amp;E25&amp;K25,VLOOKUP(F25,'Master Data'!$E$59:$H$144,4,FALSE)&amp;"-"&amp;J25&amp;"-"&amp;K25),"-")</f>
        <v>-</v>
      </c>
      <c r="M25" s="158"/>
      <c r="N25" s="159"/>
      <c r="O25" s="157"/>
      <c r="P25" s="157"/>
      <c r="Q25" s="157"/>
      <c r="R25" s="157"/>
      <c r="S25" s="157"/>
      <c r="T25" s="157"/>
      <c r="U25" s="157"/>
      <c r="V25" s="157"/>
      <c r="W25" s="157"/>
      <c r="X25" s="157"/>
      <c r="Y25" s="157"/>
      <c r="Z25" s="157"/>
      <c r="AA25" s="149">
        <f t="shared" si="2"/>
        <v>0</v>
      </c>
      <c r="AC25" s="157"/>
      <c r="AD25" s="157"/>
      <c r="AE25" s="157"/>
      <c r="AF25" s="157"/>
      <c r="AG25" s="157"/>
      <c r="AH25" s="157"/>
      <c r="AI25" s="157"/>
      <c r="AJ25" s="157"/>
      <c r="AK25" s="157"/>
      <c r="AL25" s="157"/>
      <c r="AM25" s="157"/>
      <c r="AN25" s="157"/>
      <c r="AO25" s="149">
        <f t="shared" si="3"/>
        <v>0</v>
      </c>
      <c r="AQ25" s="157"/>
      <c r="AR25" s="157"/>
      <c r="AS25" s="157"/>
      <c r="AT25" s="157"/>
      <c r="AU25" s="157"/>
      <c r="AV25" s="157"/>
      <c r="AW25" s="157"/>
      <c r="AX25" s="157"/>
      <c r="AY25" s="157"/>
      <c r="AZ25" s="157"/>
      <c r="BA25" s="157"/>
      <c r="BB25" s="157"/>
      <c r="BC25" s="149">
        <f t="shared" si="4"/>
        <v>0</v>
      </c>
      <c r="BD25" s="151">
        <f t="shared" si="5"/>
        <v>0</v>
      </c>
      <c r="BE25" s="141"/>
      <c r="BF25" s="152"/>
      <c r="BG25" s="152"/>
      <c r="BH25" s="152"/>
      <c r="BI25" s="153">
        <f t="shared" si="6"/>
        <v>0</v>
      </c>
      <c r="BJ25" s="152"/>
      <c r="BK25" s="154" t="str">
        <f t="shared" si="9"/>
        <v/>
      </c>
      <c r="BL25" s="154" t="str">
        <f t="shared" si="7"/>
        <v/>
      </c>
      <c r="BM25" s="154" t="str">
        <f t="shared" si="8"/>
        <v/>
      </c>
      <c r="BN25" s="155"/>
    </row>
    <row r="26" spans="1:66" ht="15" customHeight="1" x14ac:dyDescent="0.35">
      <c r="A26" s="137" t="str">
        <f>IF(D26="","",Cover!$D$8)</f>
        <v/>
      </c>
      <c r="B26" s="137" t="str">
        <f>IF(D26="","",Cover!$D$7)</f>
        <v/>
      </c>
      <c r="C26" s="138" t="str">
        <f>IF(F26="","",IFERROR(VLOOKUP(F26,'Master Data'!$E$59:$J$144,6,FALSE),0))</f>
        <v/>
      </c>
      <c r="D26" s="139" t="str">
        <f>IF(F26="","",IFERROR(VLOOKUP(F26,'Master Data'!$E$59:$L$147,8,FALSE),0))</f>
        <v/>
      </c>
      <c r="E26" s="138" t="str">
        <f>IF(D26="","",IFERROR(VLOOKUP(D26,'Master Data'!$D$59:$I$147,6,FALSE),0))</f>
        <v/>
      </c>
      <c r="F26" s="140"/>
      <c r="G26" s="141"/>
      <c r="H26" s="142">
        <f>IFERROR(VLOOKUP(G26,'Master Data'!$C$336:$I$353,7,FALSE),0)</f>
        <v>0</v>
      </c>
      <c r="I26" s="143">
        <f>IFERROR(VLOOKUP(H26,'Master Data'!$B$336:$D$351,3,FALSE),0)</f>
        <v>0</v>
      </c>
      <c r="J26" s="144">
        <f>IFERROR(VLOOKUP(H26,'Master Data'!$B$336:$H$353,7,FALSE),0)</f>
        <v>0</v>
      </c>
      <c r="K26" s="145"/>
      <c r="L26" s="146" t="str">
        <f>IFERROR(IF(I26="FIXED ASSET",J26&amp;E26&amp;K26,VLOOKUP(F26,'Master Data'!$E$59:$H$144,4,FALSE)&amp;"-"&amp;J26&amp;"-"&amp;K26),"-")</f>
        <v>-</v>
      </c>
      <c r="M26" s="158"/>
      <c r="N26" s="159"/>
      <c r="O26" s="157"/>
      <c r="P26" s="157"/>
      <c r="Q26" s="157"/>
      <c r="R26" s="157"/>
      <c r="S26" s="157"/>
      <c r="T26" s="157"/>
      <c r="U26" s="157"/>
      <c r="V26" s="157"/>
      <c r="W26" s="157"/>
      <c r="X26" s="157"/>
      <c r="Y26" s="157"/>
      <c r="Z26" s="157"/>
      <c r="AA26" s="149">
        <f t="shared" ref="AA26:AA56" si="10">SUM(O26:Z26)</f>
        <v>0</v>
      </c>
      <c r="AC26" s="157"/>
      <c r="AD26" s="157"/>
      <c r="AE26" s="157"/>
      <c r="AF26" s="157"/>
      <c r="AG26" s="157"/>
      <c r="AH26" s="157"/>
      <c r="AI26" s="157"/>
      <c r="AJ26" s="157"/>
      <c r="AK26" s="157"/>
      <c r="AL26" s="157"/>
      <c r="AM26" s="157"/>
      <c r="AN26" s="157"/>
      <c r="AO26" s="149">
        <f t="shared" si="3"/>
        <v>0</v>
      </c>
      <c r="AQ26" s="157"/>
      <c r="AR26" s="157"/>
      <c r="AS26" s="157"/>
      <c r="AT26" s="157"/>
      <c r="AU26" s="157"/>
      <c r="AV26" s="157"/>
      <c r="AW26" s="157"/>
      <c r="AX26" s="157"/>
      <c r="AY26" s="157"/>
      <c r="AZ26" s="157"/>
      <c r="BA26" s="157"/>
      <c r="BB26" s="157"/>
      <c r="BC26" s="149">
        <f t="shared" si="4"/>
        <v>0</v>
      </c>
      <c r="BD26" s="151">
        <f t="shared" si="5"/>
        <v>0</v>
      </c>
      <c r="BE26" s="141"/>
      <c r="BF26" s="152"/>
      <c r="BG26" s="152"/>
      <c r="BH26" s="152"/>
      <c r="BI26" s="153">
        <f t="shared" si="6"/>
        <v>0</v>
      </c>
      <c r="BJ26" s="152"/>
      <c r="BK26" s="154" t="str">
        <f t="shared" si="9"/>
        <v/>
      </c>
      <c r="BL26" s="154" t="str">
        <f t="shared" si="7"/>
        <v/>
      </c>
      <c r="BM26" s="154" t="str">
        <f t="shared" si="8"/>
        <v/>
      </c>
      <c r="BN26" s="155"/>
    </row>
    <row r="27" spans="1:66" ht="15" customHeight="1" x14ac:dyDescent="0.35">
      <c r="A27" s="137" t="str">
        <f>IF(D27="","",Cover!$D$8)</f>
        <v/>
      </c>
      <c r="B27" s="137" t="str">
        <f>IF(D27="","",Cover!$D$7)</f>
        <v/>
      </c>
      <c r="C27" s="138" t="str">
        <f>IF(F27="","",IFERROR(VLOOKUP(F27,'Master Data'!$E$59:$J$144,6,FALSE),0))</f>
        <v/>
      </c>
      <c r="D27" s="139" t="str">
        <f>IF(F27="","",IFERROR(VLOOKUP(F27,'Master Data'!$E$59:$L$147,8,FALSE),0))</f>
        <v/>
      </c>
      <c r="E27" s="138" t="str">
        <f>IF(D27="","",IFERROR(VLOOKUP(D27,'Master Data'!$D$59:$I$147,6,FALSE),0))</f>
        <v/>
      </c>
      <c r="F27" s="140"/>
      <c r="G27" s="141"/>
      <c r="H27" s="142">
        <f>IFERROR(VLOOKUP(G27,'Master Data'!$C$336:$I$353,7,FALSE),0)</f>
        <v>0</v>
      </c>
      <c r="I27" s="143">
        <f>IFERROR(VLOOKUP(H27,'Master Data'!$B$336:$D$351,3,FALSE),0)</f>
        <v>0</v>
      </c>
      <c r="J27" s="144">
        <f>IFERROR(VLOOKUP(H27,'Master Data'!$B$336:$H$353,7,FALSE),0)</f>
        <v>0</v>
      </c>
      <c r="K27" s="145"/>
      <c r="L27" s="146" t="str">
        <f>IFERROR(IF(I27="FIXED ASSET",J27&amp;E27&amp;K27,VLOOKUP(F27,'Master Data'!$E$59:$H$144,4,FALSE)&amp;"-"&amp;J27&amp;"-"&amp;K27),"-")</f>
        <v>-</v>
      </c>
      <c r="M27" s="158"/>
      <c r="N27" s="159"/>
      <c r="O27" s="157"/>
      <c r="P27" s="157"/>
      <c r="Q27" s="157"/>
      <c r="R27" s="157"/>
      <c r="S27" s="157"/>
      <c r="T27" s="157"/>
      <c r="U27" s="157"/>
      <c r="V27" s="157"/>
      <c r="W27" s="157"/>
      <c r="X27" s="157"/>
      <c r="Y27" s="157"/>
      <c r="Z27" s="157"/>
      <c r="AA27" s="149">
        <f t="shared" si="10"/>
        <v>0</v>
      </c>
      <c r="AC27" s="157"/>
      <c r="AD27" s="157"/>
      <c r="AE27" s="157"/>
      <c r="AF27" s="157"/>
      <c r="AG27" s="157"/>
      <c r="AH27" s="157"/>
      <c r="AI27" s="157"/>
      <c r="AJ27" s="157"/>
      <c r="AK27" s="157"/>
      <c r="AL27" s="157"/>
      <c r="AM27" s="157"/>
      <c r="AN27" s="157"/>
      <c r="AO27" s="149">
        <f t="shared" si="3"/>
        <v>0</v>
      </c>
      <c r="AQ27" s="157"/>
      <c r="AR27" s="157"/>
      <c r="AS27" s="157"/>
      <c r="AT27" s="157"/>
      <c r="AU27" s="157"/>
      <c r="AV27" s="157"/>
      <c r="AW27" s="157"/>
      <c r="AX27" s="157"/>
      <c r="AY27" s="157"/>
      <c r="AZ27" s="157"/>
      <c r="BA27" s="157"/>
      <c r="BB27" s="157"/>
      <c r="BC27" s="149">
        <f t="shared" si="4"/>
        <v>0</v>
      </c>
      <c r="BD27" s="151">
        <f t="shared" si="5"/>
        <v>0</v>
      </c>
      <c r="BE27" s="141"/>
      <c r="BF27" s="152"/>
      <c r="BG27" s="152"/>
      <c r="BH27" s="152"/>
      <c r="BI27" s="153">
        <f t="shared" si="6"/>
        <v>0</v>
      </c>
      <c r="BJ27" s="152"/>
      <c r="BK27" s="154" t="str">
        <f t="shared" si="9"/>
        <v/>
      </c>
      <c r="BL27" s="154" t="str">
        <f t="shared" si="7"/>
        <v/>
      </c>
      <c r="BM27" s="154" t="str">
        <f t="shared" si="8"/>
        <v/>
      </c>
      <c r="BN27" s="155"/>
    </row>
    <row r="28" spans="1:66" ht="15" customHeight="1" x14ac:dyDescent="0.35">
      <c r="A28" s="137" t="str">
        <f>IF(D28="","",Cover!$D$8)</f>
        <v/>
      </c>
      <c r="B28" s="137" t="str">
        <f>IF(D28="","",Cover!$D$7)</f>
        <v/>
      </c>
      <c r="C28" s="138" t="str">
        <f>IF(F28="","",IFERROR(VLOOKUP(F28,'Master Data'!$E$59:$J$144,6,FALSE),0))</f>
        <v/>
      </c>
      <c r="D28" s="139" t="str">
        <f>IF(F28="","",IFERROR(VLOOKUP(F28,'Master Data'!$E$59:$L$147,8,FALSE),0))</f>
        <v/>
      </c>
      <c r="E28" s="138" t="str">
        <f>IF(D28="","",IFERROR(VLOOKUP(D28,'Master Data'!$D$59:$I$147,6,FALSE),0))</f>
        <v/>
      </c>
      <c r="F28" s="140"/>
      <c r="G28" s="141"/>
      <c r="H28" s="142">
        <f>IFERROR(VLOOKUP(G28,'Master Data'!$C$336:$I$353,7,FALSE),0)</f>
        <v>0</v>
      </c>
      <c r="I28" s="143">
        <f>IFERROR(VLOOKUP(H28,'Master Data'!$B$336:$D$351,3,FALSE),0)</f>
        <v>0</v>
      </c>
      <c r="J28" s="144">
        <f>IFERROR(VLOOKUP(H28,'Master Data'!$B$336:$H$353,7,FALSE),0)</f>
        <v>0</v>
      </c>
      <c r="K28" s="145"/>
      <c r="L28" s="146" t="str">
        <f>IFERROR(IF(I28="FIXED ASSET",J28&amp;E28&amp;K28,VLOOKUP(F28,'Master Data'!$E$59:$H$144,4,FALSE)&amp;"-"&amp;J28&amp;"-"&amp;K28),"-")</f>
        <v>-</v>
      </c>
      <c r="M28" s="158"/>
      <c r="N28" s="159"/>
      <c r="O28" s="157"/>
      <c r="P28" s="157"/>
      <c r="Q28" s="157"/>
      <c r="R28" s="157"/>
      <c r="S28" s="157"/>
      <c r="T28" s="157"/>
      <c r="U28" s="157"/>
      <c r="V28" s="157"/>
      <c r="W28" s="157"/>
      <c r="X28" s="157"/>
      <c r="Y28" s="157"/>
      <c r="Z28" s="157"/>
      <c r="AA28" s="149">
        <f t="shared" si="10"/>
        <v>0</v>
      </c>
      <c r="AC28" s="157"/>
      <c r="AD28" s="157"/>
      <c r="AE28" s="157"/>
      <c r="AF28" s="157"/>
      <c r="AG28" s="157"/>
      <c r="AH28" s="157"/>
      <c r="AI28" s="157"/>
      <c r="AJ28" s="157"/>
      <c r="AK28" s="157"/>
      <c r="AL28" s="157"/>
      <c r="AM28" s="157"/>
      <c r="AN28" s="157"/>
      <c r="AO28" s="149">
        <f t="shared" si="3"/>
        <v>0</v>
      </c>
      <c r="AQ28" s="157"/>
      <c r="AR28" s="157"/>
      <c r="AS28" s="157"/>
      <c r="AT28" s="157"/>
      <c r="AU28" s="157"/>
      <c r="AV28" s="157"/>
      <c r="AW28" s="157"/>
      <c r="AX28" s="157"/>
      <c r="AY28" s="157"/>
      <c r="AZ28" s="157"/>
      <c r="BA28" s="157"/>
      <c r="BB28" s="157"/>
      <c r="BC28" s="149">
        <f t="shared" si="4"/>
        <v>0</v>
      </c>
      <c r="BD28" s="151">
        <f t="shared" si="5"/>
        <v>0</v>
      </c>
      <c r="BE28" s="141"/>
      <c r="BF28" s="152"/>
      <c r="BG28" s="152"/>
      <c r="BH28" s="152"/>
      <c r="BI28" s="153">
        <f t="shared" si="6"/>
        <v>0</v>
      </c>
      <c r="BJ28" s="152"/>
      <c r="BK28" s="154" t="str">
        <f t="shared" si="9"/>
        <v/>
      </c>
      <c r="BL28" s="154" t="str">
        <f t="shared" si="7"/>
        <v/>
      </c>
      <c r="BM28" s="154" t="str">
        <f t="shared" si="8"/>
        <v/>
      </c>
      <c r="BN28" s="155"/>
    </row>
    <row r="29" spans="1:66" ht="15" customHeight="1" x14ac:dyDescent="0.35">
      <c r="A29" s="137" t="str">
        <f>IF(D29="","",Cover!$D$8)</f>
        <v/>
      </c>
      <c r="B29" s="137" t="str">
        <f>IF(D29="","",Cover!$D$7)</f>
        <v/>
      </c>
      <c r="C29" s="138" t="str">
        <f>IF(F29="","",IFERROR(VLOOKUP(F29,'Master Data'!$E$59:$J$144,6,FALSE),0))</f>
        <v/>
      </c>
      <c r="D29" s="139" t="str">
        <f>IF(F29="","",IFERROR(VLOOKUP(F29,'Master Data'!$E$59:$L$147,8,FALSE),0))</f>
        <v/>
      </c>
      <c r="E29" s="138" t="str">
        <f>IF(D29="","",IFERROR(VLOOKUP(D29,'Master Data'!$D$59:$I$147,6,FALSE),0))</f>
        <v/>
      </c>
      <c r="F29" s="140"/>
      <c r="G29" s="141"/>
      <c r="H29" s="142">
        <f>IFERROR(VLOOKUP(G29,'Master Data'!$C$336:$I$353,7,FALSE),0)</f>
        <v>0</v>
      </c>
      <c r="I29" s="143">
        <f>IFERROR(VLOOKUP(H29,'Master Data'!$B$336:$D$351,3,FALSE),0)</f>
        <v>0</v>
      </c>
      <c r="J29" s="144">
        <f>IFERROR(VLOOKUP(H29,'Master Data'!$B$336:$H$353,7,FALSE),0)</f>
        <v>0</v>
      </c>
      <c r="K29" s="145"/>
      <c r="L29" s="146" t="str">
        <f>IFERROR(IF(I29="FIXED ASSET",J29&amp;E29&amp;K29,VLOOKUP(F29,'Master Data'!$E$59:$H$144,4,FALSE)&amp;"-"&amp;J29&amp;"-"&amp;K29),"-")</f>
        <v>-</v>
      </c>
      <c r="M29" s="158"/>
      <c r="N29" s="159"/>
      <c r="O29" s="157"/>
      <c r="P29" s="157"/>
      <c r="Q29" s="157"/>
      <c r="R29" s="157"/>
      <c r="S29" s="157"/>
      <c r="T29" s="157"/>
      <c r="U29" s="157"/>
      <c r="V29" s="157"/>
      <c r="W29" s="157"/>
      <c r="X29" s="157"/>
      <c r="Y29" s="157"/>
      <c r="Z29" s="157"/>
      <c r="AA29" s="149">
        <f t="shared" si="10"/>
        <v>0</v>
      </c>
      <c r="AC29" s="157"/>
      <c r="AD29" s="157"/>
      <c r="AE29" s="157"/>
      <c r="AF29" s="157"/>
      <c r="AG29" s="157"/>
      <c r="AH29" s="157"/>
      <c r="AI29" s="157"/>
      <c r="AJ29" s="157"/>
      <c r="AK29" s="157"/>
      <c r="AL29" s="157"/>
      <c r="AM29" s="157"/>
      <c r="AN29" s="157"/>
      <c r="AO29" s="149">
        <f t="shared" si="3"/>
        <v>0</v>
      </c>
      <c r="AQ29" s="157"/>
      <c r="AR29" s="157"/>
      <c r="AS29" s="157"/>
      <c r="AT29" s="157"/>
      <c r="AU29" s="157"/>
      <c r="AV29" s="157"/>
      <c r="AW29" s="157"/>
      <c r="AX29" s="157"/>
      <c r="AY29" s="157"/>
      <c r="AZ29" s="157"/>
      <c r="BA29" s="157"/>
      <c r="BB29" s="157"/>
      <c r="BC29" s="149">
        <f t="shared" si="4"/>
        <v>0</v>
      </c>
      <c r="BD29" s="151">
        <f t="shared" si="5"/>
        <v>0</v>
      </c>
      <c r="BE29" s="141"/>
      <c r="BF29" s="152"/>
      <c r="BG29" s="152"/>
      <c r="BH29" s="152"/>
      <c r="BI29" s="153">
        <f t="shared" si="6"/>
        <v>0</v>
      </c>
      <c r="BJ29" s="152"/>
      <c r="BK29" s="154" t="str">
        <f t="shared" si="9"/>
        <v/>
      </c>
      <c r="BL29" s="154" t="str">
        <f t="shared" si="7"/>
        <v/>
      </c>
      <c r="BM29" s="154" t="str">
        <f t="shared" si="8"/>
        <v/>
      </c>
      <c r="BN29" s="155"/>
    </row>
    <row r="30" spans="1:66" ht="15" customHeight="1" x14ac:dyDescent="0.35">
      <c r="A30" s="137" t="str">
        <f>IF(D30="","",Cover!$D$8)</f>
        <v/>
      </c>
      <c r="B30" s="137" t="str">
        <f>IF(D30="","",Cover!$D$7)</f>
        <v/>
      </c>
      <c r="C30" s="138" t="str">
        <f>IF(F30="","",IFERROR(VLOOKUP(F30,'Master Data'!$E$59:$J$144,6,FALSE),0))</f>
        <v/>
      </c>
      <c r="D30" s="139" t="str">
        <f>IF(F30="","",IFERROR(VLOOKUP(F30,'Master Data'!$E$59:$L$147,8,FALSE),0))</f>
        <v/>
      </c>
      <c r="E30" s="138" t="str">
        <f>IF(D30="","",IFERROR(VLOOKUP(D30,'Master Data'!$D$59:$I$147,6,FALSE),0))</f>
        <v/>
      </c>
      <c r="F30" s="140"/>
      <c r="G30" s="141"/>
      <c r="H30" s="142">
        <f>IFERROR(VLOOKUP(G30,'Master Data'!$C$336:$I$353,7,FALSE),0)</f>
        <v>0</v>
      </c>
      <c r="I30" s="143">
        <f>IFERROR(VLOOKUP(H30,'Master Data'!$B$336:$D$351,3,FALSE),0)</f>
        <v>0</v>
      </c>
      <c r="J30" s="144">
        <f>IFERROR(VLOOKUP(H30,'Master Data'!$B$336:$H$353,7,FALSE),0)</f>
        <v>0</v>
      </c>
      <c r="K30" s="145"/>
      <c r="L30" s="146" t="str">
        <f>IFERROR(IF(I30="FIXED ASSET",J30&amp;E30&amp;K30,VLOOKUP(F30,'Master Data'!$E$59:$H$144,4,FALSE)&amp;"-"&amp;J30&amp;"-"&amp;K30),"-")</f>
        <v>-</v>
      </c>
      <c r="M30" s="158"/>
      <c r="N30" s="159"/>
      <c r="O30" s="157"/>
      <c r="P30" s="157"/>
      <c r="Q30" s="157"/>
      <c r="R30" s="157"/>
      <c r="S30" s="157"/>
      <c r="T30" s="157"/>
      <c r="U30" s="157"/>
      <c r="V30" s="157"/>
      <c r="W30" s="157"/>
      <c r="X30" s="157"/>
      <c r="Y30" s="157"/>
      <c r="Z30" s="157"/>
      <c r="AA30" s="149">
        <f t="shared" si="10"/>
        <v>0</v>
      </c>
      <c r="AC30" s="157"/>
      <c r="AD30" s="157"/>
      <c r="AE30" s="157"/>
      <c r="AF30" s="157"/>
      <c r="AG30" s="157"/>
      <c r="AH30" s="157"/>
      <c r="AI30" s="157"/>
      <c r="AJ30" s="157"/>
      <c r="AK30" s="157"/>
      <c r="AL30" s="157"/>
      <c r="AM30" s="157"/>
      <c r="AN30" s="157"/>
      <c r="AO30" s="149">
        <f t="shared" si="3"/>
        <v>0</v>
      </c>
      <c r="AQ30" s="157"/>
      <c r="AR30" s="157"/>
      <c r="AS30" s="157"/>
      <c r="AT30" s="157"/>
      <c r="AU30" s="157"/>
      <c r="AV30" s="157"/>
      <c r="AW30" s="157"/>
      <c r="AX30" s="157"/>
      <c r="AY30" s="157"/>
      <c r="AZ30" s="157"/>
      <c r="BA30" s="157"/>
      <c r="BB30" s="157"/>
      <c r="BC30" s="149">
        <f t="shared" si="4"/>
        <v>0</v>
      </c>
      <c r="BD30" s="151">
        <f t="shared" si="5"/>
        <v>0</v>
      </c>
      <c r="BE30" s="141"/>
      <c r="BF30" s="152"/>
      <c r="BG30" s="152"/>
      <c r="BH30" s="152"/>
      <c r="BI30" s="153">
        <f t="shared" si="6"/>
        <v>0</v>
      </c>
      <c r="BJ30" s="152"/>
      <c r="BK30" s="154" t="str">
        <f t="shared" si="9"/>
        <v/>
      </c>
      <c r="BL30" s="154" t="str">
        <f t="shared" si="7"/>
        <v/>
      </c>
      <c r="BM30" s="154" t="str">
        <f t="shared" si="8"/>
        <v/>
      </c>
      <c r="BN30" s="155"/>
    </row>
    <row r="31" spans="1:66" ht="15" customHeight="1" x14ac:dyDescent="0.35">
      <c r="A31" s="137" t="str">
        <f>IF(D31="","",Cover!$D$8)</f>
        <v/>
      </c>
      <c r="B31" s="137" t="str">
        <f>IF(D31="","",Cover!$D$7)</f>
        <v/>
      </c>
      <c r="C31" s="138" t="str">
        <f>IF(F31="","",IFERROR(VLOOKUP(F31,'Master Data'!$E$59:$J$144,6,FALSE),0))</f>
        <v/>
      </c>
      <c r="D31" s="139" t="str">
        <f>IF(F31="","",IFERROR(VLOOKUP(F31,'Master Data'!$E$59:$L$147,8,FALSE),0))</f>
        <v/>
      </c>
      <c r="E31" s="138" t="str">
        <f>IF(D31="","",IFERROR(VLOOKUP(D31,'Master Data'!$D$59:$I$147,6,FALSE),0))</f>
        <v/>
      </c>
      <c r="F31" s="140"/>
      <c r="G31" s="141"/>
      <c r="H31" s="142">
        <f>IFERROR(VLOOKUP(G31,'Master Data'!$C$336:$I$353,7,FALSE),0)</f>
        <v>0</v>
      </c>
      <c r="I31" s="143">
        <f>IFERROR(VLOOKUP(H31,'Master Data'!$B$336:$D$351,3,FALSE),0)</f>
        <v>0</v>
      </c>
      <c r="J31" s="144">
        <f>IFERROR(VLOOKUP(H31,'Master Data'!$B$336:$H$353,7,FALSE),0)</f>
        <v>0</v>
      </c>
      <c r="K31" s="145"/>
      <c r="L31" s="146" t="str">
        <f>IFERROR(IF(I31="FIXED ASSET",J31&amp;E31&amp;K31,VLOOKUP(F31,'Master Data'!$E$59:$H$144,4,FALSE)&amp;"-"&amp;J31&amp;"-"&amp;K31),"-")</f>
        <v>-</v>
      </c>
      <c r="M31" s="158"/>
      <c r="N31" s="159"/>
      <c r="O31" s="157"/>
      <c r="P31" s="157"/>
      <c r="Q31" s="157"/>
      <c r="R31" s="157"/>
      <c r="S31" s="157"/>
      <c r="T31" s="157"/>
      <c r="U31" s="157"/>
      <c r="V31" s="157"/>
      <c r="W31" s="157"/>
      <c r="X31" s="157"/>
      <c r="Y31" s="157"/>
      <c r="Z31" s="157"/>
      <c r="AA31" s="149">
        <f t="shared" si="10"/>
        <v>0</v>
      </c>
      <c r="AC31" s="157"/>
      <c r="AD31" s="157"/>
      <c r="AE31" s="157"/>
      <c r="AF31" s="157"/>
      <c r="AG31" s="157"/>
      <c r="AH31" s="157"/>
      <c r="AI31" s="157"/>
      <c r="AJ31" s="157"/>
      <c r="AK31" s="157"/>
      <c r="AL31" s="157"/>
      <c r="AM31" s="157"/>
      <c r="AN31" s="157"/>
      <c r="AO31" s="149">
        <f t="shared" si="3"/>
        <v>0</v>
      </c>
      <c r="AQ31" s="157"/>
      <c r="AR31" s="157"/>
      <c r="AS31" s="157"/>
      <c r="AT31" s="157"/>
      <c r="AU31" s="157"/>
      <c r="AV31" s="157"/>
      <c r="AW31" s="157"/>
      <c r="AX31" s="157"/>
      <c r="AY31" s="157"/>
      <c r="AZ31" s="157"/>
      <c r="BA31" s="157"/>
      <c r="BB31" s="157"/>
      <c r="BC31" s="149">
        <f t="shared" si="4"/>
        <v>0</v>
      </c>
      <c r="BD31" s="151">
        <f t="shared" si="5"/>
        <v>0</v>
      </c>
      <c r="BE31" s="141"/>
      <c r="BF31" s="152"/>
      <c r="BG31" s="152"/>
      <c r="BH31" s="152"/>
      <c r="BI31" s="153">
        <f t="shared" si="6"/>
        <v>0</v>
      </c>
      <c r="BJ31" s="152"/>
      <c r="BK31" s="154" t="str">
        <f t="shared" si="9"/>
        <v/>
      </c>
      <c r="BL31" s="154" t="str">
        <f t="shared" si="7"/>
        <v/>
      </c>
      <c r="BM31" s="154" t="str">
        <f t="shared" si="8"/>
        <v/>
      </c>
      <c r="BN31" s="155"/>
    </row>
    <row r="32" spans="1:66" ht="15" customHeight="1" x14ac:dyDescent="0.35">
      <c r="A32" s="137" t="str">
        <f>IF(D32="","",Cover!$D$8)</f>
        <v/>
      </c>
      <c r="B32" s="137" t="str">
        <f>IF(D32="","",Cover!$D$7)</f>
        <v/>
      </c>
      <c r="C32" s="138" t="str">
        <f>IF(F32="","",IFERROR(VLOOKUP(F32,'Master Data'!$E$59:$J$144,6,FALSE),0))</f>
        <v/>
      </c>
      <c r="D32" s="139" t="str">
        <f>IF(F32="","",IFERROR(VLOOKUP(F32,'Master Data'!$E$59:$L$147,8,FALSE),0))</f>
        <v/>
      </c>
      <c r="E32" s="138" t="str">
        <f>IF(D32="","",IFERROR(VLOOKUP(D32,'Master Data'!$D$59:$I$147,6,FALSE),0))</f>
        <v/>
      </c>
      <c r="F32" s="140"/>
      <c r="G32" s="141"/>
      <c r="H32" s="142">
        <f>IFERROR(VLOOKUP(G32,'Master Data'!$C$336:$I$353,7,FALSE),0)</f>
        <v>0</v>
      </c>
      <c r="I32" s="143">
        <f>IFERROR(VLOOKUP(H32,'Master Data'!$B$336:$D$351,3,FALSE),0)</f>
        <v>0</v>
      </c>
      <c r="J32" s="144">
        <f>IFERROR(VLOOKUP(H32,'Master Data'!$B$336:$H$353,7,FALSE),0)</f>
        <v>0</v>
      </c>
      <c r="K32" s="145"/>
      <c r="L32" s="146" t="str">
        <f>IFERROR(IF(I32="FIXED ASSET",J32&amp;E32&amp;K32,VLOOKUP(F32,'Master Data'!$E$59:$H$144,4,FALSE)&amp;"-"&amp;J32&amp;"-"&amp;K32),"-")</f>
        <v>-</v>
      </c>
      <c r="M32" s="158"/>
      <c r="N32" s="159"/>
      <c r="O32" s="157"/>
      <c r="P32" s="157"/>
      <c r="Q32" s="157"/>
      <c r="R32" s="157"/>
      <c r="S32" s="157"/>
      <c r="T32" s="157"/>
      <c r="U32" s="157"/>
      <c r="V32" s="157"/>
      <c r="W32" s="157"/>
      <c r="X32" s="157"/>
      <c r="Y32" s="157"/>
      <c r="Z32" s="157"/>
      <c r="AA32" s="149">
        <f t="shared" si="10"/>
        <v>0</v>
      </c>
      <c r="AC32" s="157"/>
      <c r="AD32" s="157"/>
      <c r="AE32" s="157"/>
      <c r="AF32" s="157"/>
      <c r="AG32" s="157"/>
      <c r="AH32" s="157"/>
      <c r="AI32" s="157"/>
      <c r="AJ32" s="157"/>
      <c r="AK32" s="157"/>
      <c r="AL32" s="157"/>
      <c r="AM32" s="157"/>
      <c r="AN32" s="157"/>
      <c r="AO32" s="149">
        <f t="shared" si="3"/>
        <v>0</v>
      </c>
      <c r="AQ32" s="157"/>
      <c r="AR32" s="157"/>
      <c r="AS32" s="157"/>
      <c r="AT32" s="157"/>
      <c r="AU32" s="157"/>
      <c r="AV32" s="157"/>
      <c r="AW32" s="157"/>
      <c r="AX32" s="157"/>
      <c r="AY32" s="157"/>
      <c r="AZ32" s="157"/>
      <c r="BA32" s="157"/>
      <c r="BB32" s="157"/>
      <c r="BC32" s="149">
        <f t="shared" si="4"/>
        <v>0</v>
      </c>
      <c r="BD32" s="151">
        <f t="shared" si="5"/>
        <v>0</v>
      </c>
      <c r="BE32" s="141"/>
      <c r="BF32" s="152"/>
      <c r="BG32" s="152"/>
      <c r="BH32" s="152"/>
      <c r="BI32" s="153">
        <f t="shared" si="6"/>
        <v>0</v>
      </c>
      <c r="BJ32" s="152"/>
      <c r="BK32" s="154" t="str">
        <f t="shared" si="9"/>
        <v/>
      </c>
      <c r="BL32" s="154" t="str">
        <f t="shared" si="7"/>
        <v/>
      </c>
      <c r="BM32" s="154" t="str">
        <f t="shared" si="8"/>
        <v/>
      </c>
      <c r="BN32" s="155"/>
    </row>
    <row r="33" spans="1:66" ht="15" customHeight="1" x14ac:dyDescent="0.35">
      <c r="A33" s="137" t="str">
        <f>IF(D33="","",Cover!$D$8)</f>
        <v/>
      </c>
      <c r="B33" s="137" t="str">
        <f>IF(D33="","",Cover!$D$7)</f>
        <v/>
      </c>
      <c r="C33" s="138" t="str">
        <f>IF(F33="","",IFERROR(VLOOKUP(F33,'Master Data'!$E$59:$J$144,6,FALSE),0))</f>
        <v/>
      </c>
      <c r="D33" s="139" t="str">
        <f>IF(F33="","",IFERROR(VLOOKUP(F33,'Master Data'!$E$59:$L$147,8,FALSE),0))</f>
        <v/>
      </c>
      <c r="E33" s="138" t="str">
        <f>IF(D33="","",IFERROR(VLOOKUP(D33,'Master Data'!$D$59:$I$147,6,FALSE),0))</f>
        <v/>
      </c>
      <c r="F33" s="140"/>
      <c r="G33" s="141"/>
      <c r="H33" s="142">
        <f>IFERROR(VLOOKUP(G33,'Master Data'!$C$336:$I$353,7,FALSE),0)</f>
        <v>0</v>
      </c>
      <c r="I33" s="143">
        <f>IFERROR(VLOOKUP(H33,'Master Data'!$B$336:$D$351,3,FALSE),0)</f>
        <v>0</v>
      </c>
      <c r="J33" s="144">
        <f>IFERROR(VLOOKUP(H33,'Master Data'!$B$336:$H$353,7,FALSE),0)</f>
        <v>0</v>
      </c>
      <c r="K33" s="145"/>
      <c r="L33" s="146" t="str">
        <f>IFERROR(IF(I33="FIXED ASSET",J33&amp;E33&amp;K33,VLOOKUP(F33,'Master Data'!$E$59:$H$144,4,FALSE)&amp;"-"&amp;J33&amp;"-"&amp;K33),"-")</f>
        <v>-</v>
      </c>
      <c r="M33" s="158"/>
      <c r="N33" s="159"/>
      <c r="O33" s="157"/>
      <c r="P33" s="157"/>
      <c r="Q33" s="157"/>
      <c r="R33" s="157"/>
      <c r="S33" s="157"/>
      <c r="T33" s="157"/>
      <c r="U33" s="157"/>
      <c r="V33" s="157"/>
      <c r="W33" s="157"/>
      <c r="X33" s="157"/>
      <c r="Y33" s="157"/>
      <c r="Z33" s="157"/>
      <c r="AA33" s="149">
        <f t="shared" si="10"/>
        <v>0</v>
      </c>
      <c r="AC33" s="157"/>
      <c r="AD33" s="157"/>
      <c r="AE33" s="157"/>
      <c r="AF33" s="157"/>
      <c r="AG33" s="157"/>
      <c r="AH33" s="157"/>
      <c r="AI33" s="157"/>
      <c r="AJ33" s="157"/>
      <c r="AK33" s="157"/>
      <c r="AL33" s="157"/>
      <c r="AM33" s="157"/>
      <c r="AN33" s="157"/>
      <c r="AO33" s="149">
        <f t="shared" si="3"/>
        <v>0</v>
      </c>
      <c r="AQ33" s="157"/>
      <c r="AR33" s="157"/>
      <c r="AS33" s="157"/>
      <c r="AT33" s="157"/>
      <c r="AU33" s="157"/>
      <c r="AV33" s="157"/>
      <c r="AW33" s="157"/>
      <c r="AX33" s="157"/>
      <c r="AY33" s="157"/>
      <c r="AZ33" s="157"/>
      <c r="BA33" s="157"/>
      <c r="BB33" s="157"/>
      <c r="BC33" s="149">
        <f t="shared" si="4"/>
        <v>0</v>
      </c>
      <c r="BD33" s="151">
        <f t="shared" si="5"/>
        <v>0</v>
      </c>
      <c r="BE33" s="141"/>
      <c r="BF33" s="152"/>
      <c r="BG33" s="152"/>
      <c r="BH33" s="152"/>
      <c r="BI33" s="153">
        <f t="shared" si="6"/>
        <v>0</v>
      </c>
      <c r="BJ33" s="152"/>
      <c r="BK33" s="154" t="str">
        <f t="shared" si="9"/>
        <v/>
      </c>
      <c r="BL33" s="154" t="str">
        <f t="shared" si="7"/>
        <v/>
      </c>
      <c r="BM33" s="154" t="str">
        <f t="shared" si="8"/>
        <v/>
      </c>
      <c r="BN33" s="155"/>
    </row>
    <row r="34" spans="1:66" ht="15" customHeight="1" x14ac:dyDescent="0.35">
      <c r="A34" s="137" t="str">
        <f>IF(D34="","",Cover!$D$8)</f>
        <v/>
      </c>
      <c r="B34" s="137" t="str">
        <f>IF(D34="","",Cover!$D$7)</f>
        <v/>
      </c>
      <c r="C34" s="138" t="str">
        <f>IF(F34="","",IFERROR(VLOOKUP(F34,'Master Data'!$E$59:$J$144,6,FALSE),0))</f>
        <v/>
      </c>
      <c r="D34" s="139" t="str">
        <f>IF(F34="","",IFERROR(VLOOKUP(F34,'Master Data'!$E$59:$L$147,8,FALSE),0))</f>
        <v/>
      </c>
      <c r="E34" s="138" t="str">
        <f>IF(D34="","",IFERROR(VLOOKUP(D34,'Master Data'!$D$59:$I$147,6,FALSE),0))</f>
        <v/>
      </c>
      <c r="F34" s="140"/>
      <c r="G34" s="141"/>
      <c r="H34" s="142">
        <f>IFERROR(VLOOKUP(G34,'Master Data'!$C$336:$I$353,7,FALSE),0)</f>
        <v>0</v>
      </c>
      <c r="I34" s="143">
        <f>IFERROR(VLOOKUP(H34,'Master Data'!$B$336:$D$351,3,FALSE),0)</f>
        <v>0</v>
      </c>
      <c r="J34" s="144">
        <f>IFERROR(VLOOKUP(H34,'Master Data'!$B$336:$H$353,7,FALSE),0)</f>
        <v>0</v>
      </c>
      <c r="K34" s="145"/>
      <c r="L34" s="146" t="str">
        <f>IFERROR(IF(I34="FIXED ASSET",J34&amp;E34&amp;K34,VLOOKUP(F34,'Master Data'!$E$59:$H$144,4,FALSE)&amp;"-"&amp;J34&amp;"-"&amp;K34),"-")</f>
        <v>-</v>
      </c>
      <c r="M34" s="158"/>
      <c r="N34" s="159"/>
      <c r="O34" s="157"/>
      <c r="P34" s="157"/>
      <c r="Q34" s="157"/>
      <c r="R34" s="157"/>
      <c r="S34" s="157"/>
      <c r="T34" s="157"/>
      <c r="U34" s="157"/>
      <c r="V34" s="157"/>
      <c r="W34" s="157"/>
      <c r="X34" s="157"/>
      <c r="Y34" s="157"/>
      <c r="Z34" s="157"/>
      <c r="AA34" s="149">
        <f t="shared" si="10"/>
        <v>0</v>
      </c>
      <c r="AC34" s="157"/>
      <c r="AD34" s="157"/>
      <c r="AE34" s="157"/>
      <c r="AF34" s="157"/>
      <c r="AG34" s="157"/>
      <c r="AH34" s="157"/>
      <c r="AI34" s="157"/>
      <c r="AJ34" s="157"/>
      <c r="AK34" s="157"/>
      <c r="AL34" s="157"/>
      <c r="AM34" s="157"/>
      <c r="AN34" s="157"/>
      <c r="AO34" s="149">
        <f t="shared" si="3"/>
        <v>0</v>
      </c>
      <c r="AQ34" s="157"/>
      <c r="AR34" s="157"/>
      <c r="AS34" s="157"/>
      <c r="AT34" s="157"/>
      <c r="AU34" s="157"/>
      <c r="AV34" s="157"/>
      <c r="AW34" s="157"/>
      <c r="AX34" s="157"/>
      <c r="AY34" s="157"/>
      <c r="AZ34" s="157"/>
      <c r="BA34" s="157"/>
      <c r="BB34" s="157"/>
      <c r="BC34" s="149">
        <f t="shared" si="4"/>
        <v>0</v>
      </c>
      <c r="BD34" s="151">
        <f t="shared" si="5"/>
        <v>0</v>
      </c>
      <c r="BE34" s="141"/>
      <c r="BF34" s="152"/>
      <c r="BG34" s="152"/>
      <c r="BH34" s="152"/>
      <c r="BI34" s="153">
        <f t="shared" si="6"/>
        <v>0</v>
      </c>
      <c r="BJ34" s="152"/>
      <c r="BK34" s="154" t="str">
        <f t="shared" si="9"/>
        <v/>
      </c>
      <c r="BL34" s="154" t="str">
        <f t="shared" si="7"/>
        <v/>
      </c>
      <c r="BM34" s="154" t="str">
        <f t="shared" si="8"/>
        <v/>
      </c>
      <c r="BN34" s="155"/>
    </row>
    <row r="35" spans="1:66" ht="15" customHeight="1" x14ac:dyDescent="0.35">
      <c r="A35" s="137" t="str">
        <f>IF(D35="","",Cover!$D$8)</f>
        <v/>
      </c>
      <c r="B35" s="137" t="str">
        <f>IF(D35="","",Cover!$D$7)</f>
        <v/>
      </c>
      <c r="C35" s="138" t="str">
        <f>IF(F35="","",IFERROR(VLOOKUP(F35,'Master Data'!$E$59:$J$144,6,FALSE),0))</f>
        <v/>
      </c>
      <c r="D35" s="139" t="str">
        <f>IF(F35="","",IFERROR(VLOOKUP(F35,'Master Data'!$E$59:$L$147,8,FALSE),0))</f>
        <v/>
      </c>
      <c r="E35" s="138" t="str">
        <f>IF(D35="","",IFERROR(VLOOKUP(D35,'Master Data'!$D$59:$I$147,6,FALSE),0))</f>
        <v/>
      </c>
      <c r="F35" s="140"/>
      <c r="G35" s="141"/>
      <c r="H35" s="142">
        <f>IFERROR(VLOOKUP(G35,'Master Data'!$C$336:$I$353,7,FALSE),0)</f>
        <v>0</v>
      </c>
      <c r="I35" s="143">
        <f>IFERROR(VLOOKUP(H35,'Master Data'!$B$336:$D$351,3,FALSE),0)</f>
        <v>0</v>
      </c>
      <c r="J35" s="144">
        <f>IFERROR(VLOOKUP(H35,'Master Data'!$B$336:$H$353,7,FALSE),0)</f>
        <v>0</v>
      </c>
      <c r="K35" s="145"/>
      <c r="L35" s="146" t="str">
        <f>IFERROR(IF(I35="FIXED ASSET",J35&amp;E35&amp;K35,VLOOKUP(F35,'Master Data'!$E$59:$H$144,4,FALSE)&amp;"-"&amp;J35&amp;"-"&amp;K35),"-")</f>
        <v>-</v>
      </c>
      <c r="M35" s="158"/>
      <c r="N35" s="159"/>
      <c r="O35" s="157"/>
      <c r="P35" s="157"/>
      <c r="Q35" s="157"/>
      <c r="R35" s="157"/>
      <c r="S35" s="157"/>
      <c r="T35" s="157"/>
      <c r="U35" s="157"/>
      <c r="V35" s="157"/>
      <c r="W35" s="157"/>
      <c r="X35" s="157"/>
      <c r="Y35" s="157"/>
      <c r="Z35" s="157"/>
      <c r="AA35" s="149">
        <f t="shared" si="10"/>
        <v>0</v>
      </c>
      <c r="AC35" s="157"/>
      <c r="AD35" s="157"/>
      <c r="AE35" s="157"/>
      <c r="AF35" s="157"/>
      <c r="AG35" s="157"/>
      <c r="AH35" s="157"/>
      <c r="AI35" s="157"/>
      <c r="AJ35" s="157"/>
      <c r="AK35" s="157"/>
      <c r="AL35" s="157"/>
      <c r="AM35" s="157"/>
      <c r="AN35" s="157"/>
      <c r="AO35" s="149">
        <f t="shared" si="3"/>
        <v>0</v>
      </c>
      <c r="AQ35" s="157"/>
      <c r="AR35" s="157"/>
      <c r="AS35" s="157"/>
      <c r="AT35" s="157"/>
      <c r="AU35" s="157"/>
      <c r="AV35" s="157"/>
      <c r="AW35" s="157"/>
      <c r="AX35" s="157"/>
      <c r="AY35" s="157"/>
      <c r="AZ35" s="157"/>
      <c r="BA35" s="157"/>
      <c r="BB35" s="157"/>
      <c r="BC35" s="149">
        <f t="shared" si="4"/>
        <v>0</v>
      </c>
      <c r="BD35" s="151">
        <f t="shared" si="5"/>
        <v>0</v>
      </c>
      <c r="BE35" s="141"/>
      <c r="BF35" s="152"/>
      <c r="BG35" s="152"/>
      <c r="BH35" s="152"/>
      <c r="BI35" s="153">
        <f t="shared" si="6"/>
        <v>0</v>
      </c>
      <c r="BJ35" s="152"/>
      <c r="BK35" s="154" t="str">
        <f t="shared" si="9"/>
        <v/>
      </c>
      <c r="BL35" s="154" t="str">
        <f t="shared" si="7"/>
        <v/>
      </c>
      <c r="BM35" s="154" t="str">
        <f t="shared" si="8"/>
        <v/>
      </c>
      <c r="BN35" s="155"/>
    </row>
    <row r="36" spans="1:66" ht="15" customHeight="1" x14ac:dyDescent="0.35">
      <c r="A36" s="137" t="str">
        <f>IF(D36="","",Cover!$D$8)</f>
        <v/>
      </c>
      <c r="B36" s="137" t="str">
        <f>IF(D36="","",Cover!$D$7)</f>
        <v/>
      </c>
      <c r="C36" s="138" t="str">
        <f>IF(F36="","",IFERROR(VLOOKUP(F36,'Master Data'!$E$59:$J$144,6,FALSE),0))</f>
        <v/>
      </c>
      <c r="D36" s="139" t="str">
        <f>IF(F36="","",IFERROR(VLOOKUP(F36,'Master Data'!$E$59:$L$147,8,FALSE),0))</f>
        <v/>
      </c>
      <c r="E36" s="138" t="str">
        <f>IF(D36="","",IFERROR(VLOOKUP(D36,'Master Data'!$D$59:$I$147,6,FALSE),0))</f>
        <v/>
      </c>
      <c r="F36" s="140"/>
      <c r="G36" s="141"/>
      <c r="H36" s="142">
        <f>IFERROR(VLOOKUP(G36,'Master Data'!$C$336:$I$353,7,FALSE),0)</f>
        <v>0</v>
      </c>
      <c r="I36" s="143">
        <f>IFERROR(VLOOKUP(H36,'Master Data'!$B$336:$D$351,3,FALSE),0)</f>
        <v>0</v>
      </c>
      <c r="J36" s="144">
        <f>IFERROR(VLOOKUP(H36,'Master Data'!$B$336:$H$353,7,FALSE),0)</f>
        <v>0</v>
      </c>
      <c r="K36" s="145"/>
      <c r="L36" s="146" t="str">
        <f>IFERROR(IF(I36="FIXED ASSET",J36&amp;E36&amp;K36,VLOOKUP(F36,'Master Data'!$E$59:$H$144,4,FALSE)&amp;"-"&amp;J36&amp;"-"&amp;K36),"-")</f>
        <v>-</v>
      </c>
      <c r="M36" s="158"/>
      <c r="N36" s="159"/>
      <c r="O36" s="157"/>
      <c r="P36" s="157"/>
      <c r="Q36" s="157"/>
      <c r="R36" s="157"/>
      <c r="S36" s="157"/>
      <c r="T36" s="157"/>
      <c r="U36" s="157"/>
      <c r="V36" s="157"/>
      <c r="W36" s="157"/>
      <c r="X36" s="157"/>
      <c r="Y36" s="157"/>
      <c r="Z36" s="157"/>
      <c r="AA36" s="149">
        <f t="shared" si="10"/>
        <v>0</v>
      </c>
      <c r="AC36" s="157"/>
      <c r="AD36" s="157"/>
      <c r="AE36" s="157"/>
      <c r="AF36" s="157"/>
      <c r="AG36" s="157"/>
      <c r="AH36" s="157"/>
      <c r="AI36" s="157"/>
      <c r="AJ36" s="157"/>
      <c r="AK36" s="157"/>
      <c r="AL36" s="157"/>
      <c r="AM36" s="157"/>
      <c r="AN36" s="157"/>
      <c r="AO36" s="149">
        <f t="shared" si="3"/>
        <v>0</v>
      </c>
      <c r="AQ36" s="157"/>
      <c r="AR36" s="157"/>
      <c r="AS36" s="157"/>
      <c r="AT36" s="157"/>
      <c r="AU36" s="157"/>
      <c r="AV36" s="157"/>
      <c r="AW36" s="157"/>
      <c r="AX36" s="157"/>
      <c r="AY36" s="157"/>
      <c r="AZ36" s="157"/>
      <c r="BA36" s="157"/>
      <c r="BB36" s="157"/>
      <c r="BC36" s="149">
        <f t="shared" si="4"/>
        <v>0</v>
      </c>
      <c r="BD36" s="151">
        <f t="shared" si="5"/>
        <v>0</v>
      </c>
      <c r="BE36" s="141"/>
      <c r="BF36" s="152"/>
      <c r="BG36" s="152"/>
      <c r="BH36" s="152"/>
      <c r="BI36" s="153">
        <f t="shared" si="6"/>
        <v>0</v>
      </c>
      <c r="BJ36" s="152"/>
      <c r="BK36" s="154" t="str">
        <f t="shared" si="9"/>
        <v/>
      </c>
      <c r="BL36" s="154" t="str">
        <f t="shared" si="7"/>
        <v/>
      </c>
      <c r="BM36" s="154" t="str">
        <f t="shared" si="8"/>
        <v/>
      </c>
      <c r="BN36" s="155"/>
    </row>
    <row r="37" spans="1:66" ht="15" customHeight="1" x14ac:dyDescent="0.35">
      <c r="A37" s="137" t="str">
        <f>IF(D37="","",Cover!$D$8)</f>
        <v/>
      </c>
      <c r="B37" s="137" t="str">
        <f>IF(D37="","",Cover!$D$7)</f>
        <v/>
      </c>
      <c r="C37" s="138" t="str">
        <f>IF(F37="","",IFERROR(VLOOKUP(F37,'Master Data'!$E$59:$J$144,6,FALSE),0))</f>
        <v/>
      </c>
      <c r="D37" s="139" t="str">
        <f>IF(F37="","",IFERROR(VLOOKUP(F37,'Master Data'!$E$59:$L$147,8,FALSE),0))</f>
        <v/>
      </c>
      <c r="E37" s="138" t="str">
        <f>IF(D37="","",IFERROR(VLOOKUP(D37,'Master Data'!$D$59:$I$147,6,FALSE),0))</f>
        <v/>
      </c>
      <c r="F37" s="140"/>
      <c r="G37" s="141"/>
      <c r="H37" s="142">
        <f>IFERROR(VLOOKUP(G37,'Master Data'!$C$336:$I$353,7,FALSE),0)</f>
        <v>0</v>
      </c>
      <c r="I37" s="143">
        <f>IFERROR(VLOOKUP(H37,'Master Data'!$B$336:$D$351,3,FALSE),0)</f>
        <v>0</v>
      </c>
      <c r="J37" s="144">
        <f>IFERROR(VLOOKUP(H37,'Master Data'!$B$336:$H$353,7,FALSE),0)</f>
        <v>0</v>
      </c>
      <c r="K37" s="145"/>
      <c r="L37" s="146" t="str">
        <f>IFERROR(IF(I37="FIXED ASSET",J37&amp;E37&amp;K37,VLOOKUP(F37,'Master Data'!$E$59:$H$144,4,FALSE)&amp;"-"&amp;J37&amp;"-"&amp;K37),"-")</f>
        <v>-</v>
      </c>
      <c r="M37" s="158"/>
      <c r="N37" s="159"/>
      <c r="O37" s="157"/>
      <c r="P37" s="157"/>
      <c r="Q37" s="157"/>
      <c r="R37" s="157"/>
      <c r="S37" s="157"/>
      <c r="T37" s="157"/>
      <c r="U37" s="157"/>
      <c r="V37" s="157"/>
      <c r="W37" s="157"/>
      <c r="X37" s="157"/>
      <c r="Y37" s="157"/>
      <c r="Z37" s="157"/>
      <c r="AA37" s="149">
        <f t="shared" si="10"/>
        <v>0</v>
      </c>
      <c r="AC37" s="157"/>
      <c r="AD37" s="157"/>
      <c r="AE37" s="157"/>
      <c r="AF37" s="157"/>
      <c r="AG37" s="157"/>
      <c r="AH37" s="157"/>
      <c r="AI37" s="157"/>
      <c r="AJ37" s="157"/>
      <c r="AK37" s="157"/>
      <c r="AL37" s="157"/>
      <c r="AM37" s="157"/>
      <c r="AN37" s="157"/>
      <c r="AO37" s="149">
        <f t="shared" si="3"/>
        <v>0</v>
      </c>
      <c r="AQ37" s="157"/>
      <c r="AR37" s="157"/>
      <c r="AS37" s="157"/>
      <c r="AT37" s="157"/>
      <c r="AU37" s="157"/>
      <c r="AV37" s="157"/>
      <c r="AW37" s="157"/>
      <c r="AX37" s="157"/>
      <c r="AY37" s="157"/>
      <c r="AZ37" s="157"/>
      <c r="BA37" s="157"/>
      <c r="BB37" s="157"/>
      <c r="BC37" s="149">
        <f t="shared" si="4"/>
        <v>0</v>
      </c>
      <c r="BD37" s="151">
        <f t="shared" si="5"/>
        <v>0</v>
      </c>
      <c r="BE37" s="141"/>
      <c r="BF37" s="152"/>
      <c r="BG37" s="152"/>
      <c r="BH37" s="152"/>
      <c r="BI37" s="153">
        <f t="shared" si="6"/>
        <v>0</v>
      </c>
      <c r="BJ37" s="152"/>
      <c r="BK37" s="154" t="str">
        <f t="shared" si="9"/>
        <v/>
      </c>
      <c r="BL37" s="154" t="str">
        <f t="shared" si="7"/>
        <v/>
      </c>
      <c r="BM37" s="154" t="str">
        <f t="shared" si="8"/>
        <v/>
      </c>
      <c r="BN37" s="155"/>
    </row>
    <row r="38" spans="1:66" ht="15" customHeight="1" x14ac:dyDescent="0.35">
      <c r="A38" s="137" t="str">
        <f>IF(D38="","",Cover!$D$8)</f>
        <v/>
      </c>
      <c r="B38" s="137" t="str">
        <f>IF(D38="","",Cover!$D$7)</f>
        <v/>
      </c>
      <c r="C38" s="138" t="str">
        <f>IF(F38="","",IFERROR(VLOOKUP(F38,'Master Data'!$E$59:$J$144,6,FALSE),0))</f>
        <v/>
      </c>
      <c r="D38" s="139" t="str">
        <f>IF(F38="","",IFERROR(VLOOKUP(F38,'Master Data'!$E$59:$L$147,8,FALSE),0))</f>
        <v/>
      </c>
      <c r="E38" s="138" t="str">
        <f>IF(D38="","",IFERROR(VLOOKUP(D38,'Master Data'!$D$59:$I$147,6,FALSE),0))</f>
        <v/>
      </c>
      <c r="F38" s="140"/>
      <c r="G38" s="141"/>
      <c r="H38" s="142">
        <f>IFERROR(VLOOKUP(G38,'Master Data'!$C$336:$I$353,7,FALSE),0)</f>
        <v>0</v>
      </c>
      <c r="I38" s="143">
        <f>IFERROR(VLOOKUP(H38,'Master Data'!$B$336:$D$351,3,FALSE),0)</f>
        <v>0</v>
      </c>
      <c r="J38" s="144">
        <f>IFERROR(VLOOKUP(H38,'Master Data'!$B$336:$H$353,7,FALSE),0)</f>
        <v>0</v>
      </c>
      <c r="K38" s="145"/>
      <c r="L38" s="146" t="str">
        <f>IFERROR(IF(I38="FIXED ASSET",J38&amp;E38&amp;K38,VLOOKUP(F38,'Master Data'!$E$59:$H$144,4,FALSE)&amp;"-"&amp;J38&amp;"-"&amp;K38),"-")</f>
        <v>-</v>
      </c>
      <c r="M38" s="158"/>
      <c r="N38" s="159"/>
      <c r="O38" s="157"/>
      <c r="P38" s="157"/>
      <c r="Q38" s="157"/>
      <c r="R38" s="157"/>
      <c r="S38" s="157"/>
      <c r="T38" s="157"/>
      <c r="U38" s="157"/>
      <c r="V38" s="157"/>
      <c r="W38" s="157"/>
      <c r="X38" s="157"/>
      <c r="Y38" s="157"/>
      <c r="Z38" s="157"/>
      <c r="AA38" s="149">
        <f t="shared" si="10"/>
        <v>0</v>
      </c>
      <c r="AC38" s="157"/>
      <c r="AD38" s="157"/>
      <c r="AE38" s="157"/>
      <c r="AF38" s="157"/>
      <c r="AG38" s="157"/>
      <c r="AH38" s="157"/>
      <c r="AI38" s="157"/>
      <c r="AJ38" s="157"/>
      <c r="AK38" s="157"/>
      <c r="AL38" s="157"/>
      <c r="AM38" s="157"/>
      <c r="AN38" s="157"/>
      <c r="AO38" s="149">
        <f t="shared" si="3"/>
        <v>0</v>
      </c>
      <c r="AQ38" s="157"/>
      <c r="AR38" s="157"/>
      <c r="AS38" s="157"/>
      <c r="AT38" s="157"/>
      <c r="AU38" s="157"/>
      <c r="AV38" s="157"/>
      <c r="AW38" s="157"/>
      <c r="AX38" s="157"/>
      <c r="AY38" s="157"/>
      <c r="AZ38" s="157"/>
      <c r="BA38" s="157"/>
      <c r="BB38" s="157"/>
      <c r="BC38" s="149">
        <f t="shared" si="4"/>
        <v>0</v>
      </c>
      <c r="BD38" s="151">
        <f t="shared" si="5"/>
        <v>0</v>
      </c>
      <c r="BE38" s="141"/>
      <c r="BF38" s="152"/>
      <c r="BG38" s="152"/>
      <c r="BH38" s="152"/>
      <c r="BI38" s="153">
        <f t="shared" si="6"/>
        <v>0</v>
      </c>
      <c r="BJ38" s="152"/>
      <c r="BK38" s="154" t="str">
        <f t="shared" si="9"/>
        <v/>
      </c>
      <c r="BL38" s="154" t="str">
        <f t="shared" si="7"/>
        <v/>
      </c>
      <c r="BM38" s="154" t="str">
        <f t="shared" si="8"/>
        <v/>
      </c>
      <c r="BN38" s="155"/>
    </row>
    <row r="39" spans="1:66" ht="15" customHeight="1" x14ac:dyDescent="0.35">
      <c r="A39" s="137" t="str">
        <f>IF(D39="","",Cover!$D$8)</f>
        <v/>
      </c>
      <c r="B39" s="137" t="str">
        <f>IF(D39="","",Cover!$D$7)</f>
        <v/>
      </c>
      <c r="C39" s="138" t="str">
        <f>IF(F39="","",IFERROR(VLOOKUP(F39,'Master Data'!$E$59:$J$144,6,FALSE),0))</f>
        <v/>
      </c>
      <c r="D39" s="139" t="str">
        <f>IF(F39="","",IFERROR(VLOOKUP(F39,'Master Data'!$E$59:$L$147,8,FALSE),0))</f>
        <v/>
      </c>
      <c r="E39" s="138" t="str">
        <f>IF(D39="","",IFERROR(VLOOKUP(D39,'Master Data'!$D$59:$I$147,6,FALSE),0))</f>
        <v/>
      </c>
      <c r="F39" s="140"/>
      <c r="G39" s="141"/>
      <c r="H39" s="142">
        <f>IFERROR(VLOOKUP(G39,'Master Data'!$C$336:$I$353,7,FALSE),0)</f>
        <v>0</v>
      </c>
      <c r="I39" s="143">
        <f>IFERROR(VLOOKUP(H39,'Master Data'!$B$336:$D$351,3,FALSE),0)</f>
        <v>0</v>
      </c>
      <c r="J39" s="144">
        <f>IFERROR(VLOOKUP(H39,'Master Data'!$B$336:$H$353,7,FALSE),0)</f>
        <v>0</v>
      </c>
      <c r="K39" s="145"/>
      <c r="L39" s="146" t="str">
        <f>IFERROR(IF(I39="FIXED ASSET",J39&amp;E39&amp;K39,VLOOKUP(F39,'Master Data'!$E$59:$H$144,4,FALSE)&amp;"-"&amp;J39&amp;"-"&amp;K39),"-")</f>
        <v>-</v>
      </c>
      <c r="M39" s="158"/>
      <c r="N39" s="159"/>
      <c r="O39" s="157"/>
      <c r="P39" s="157"/>
      <c r="Q39" s="157"/>
      <c r="R39" s="157"/>
      <c r="S39" s="157"/>
      <c r="T39" s="157"/>
      <c r="U39" s="157"/>
      <c r="V39" s="157"/>
      <c r="W39" s="157"/>
      <c r="X39" s="157"/>
      <c r="Y39" s="157"/>
      <c r="Z39" s="157"/>
      <c r="AA39" s="149">
        <f t="shared" si="10"/>
        <v>0</v>
      </c>
      <c r="AC39" s="157"/>
      <c r="AD39" s="157"/>
      <c r="AE39" s="157"/>
      <c r="AF39" s="157"/>
      <c r="AG39" s="157"/>
      <c r="AH39" s="157"/>
      <c r="AI39" s="157"/>
      <c r="AJ39" s="157"/>
      <c r="AK39" s="157"/>
      <c r="AL39" s="157"/>
      <c r="AM39" s="157"/>
      <c r="AN39" s="157"/>
      <c r="AO39" s="149">
        <f t="shared" si="3"/>
        <v>0</v>
      </c>
      <c r="AQ39" s="157"/>
      <c r="AR39" s="157"/>
      <c r="AS39" s="157"/>
      <c r="AT39" s="157"/>
      <c r="AU39" s="157"/>
      <c r="AV39" s="157"/>
      <c r="AW39" s="157"/>
      <c r="AX39" s="157"/>
      <c r="AY39" s="157"/>
      <c r="AZ39" s="157"/>
      <c r="BA39" s="157"/>
      <c r="BB39" s="157"/>
      <c r="BC39" s="149">
        <f t="shared" si="4"/>
        <v>0</v>
      </c>
      <c r="BD39" s="151">
        <f t="shared" si="5"/>
        <v>0</v>
      </c>
      <c r="BE39" s="141"/>
      <c r="BF39" s="152"/>
      <c r="BG39" s="152"/>
      <c r="BH39" s="152"/>
      <c r="BI39" s="153">
        <f t="shared" si="6"/>
        <v>0</v>
      </c>
      <c r="BJ39" s="152"/>
      <c r="BK39" s="154" t="str">
        <f t="shared" si="9"/>
        <v/>
      </c>
      <c r="BL39" s="154" t="str">
        <f t="shared" si="7"/>
        <v/>
      </c>
      <c r="BM39" s="154" t="str">
        <f t="shared" si="8"/>
        <v/>
      </c>
      <c r="BN39" s="155"/>
    </row>
    <row r="40" spans="1:66" ht="15" customHeight="1" x14ac:dyDescent="0.35">
      <c r="A40" s="137" t="str">
        <f>IF(D40="","",Cover!$D$8)</f>
        <v/>
      </c>
      <c r="B40" s="137" t="str">
        <f>IF(D40="","",Cover!$D$7)</f>
        <v/>
      </c>
      <c r="C40" s="138" t="str">
        <f>IF(F40="","",IFERROR(VLOOKUP(F40,'Master Data'!$E$59:$J$144,6,FALSE),0))</f>
        <v/>
      </c>
      <c r="D40" s="139" t="str">
        <f>IF(F40="","",IFERROR(VLOOKUP(F40,'Master Data'!$E$59:$L$147,8,FALSE),0))</f>
        <v/>
      </c>
      <c r="E40" s="138" t="str">
        <f>IF(D40="","",IFERROR(VLOOKUP(D40,'Master Data'!$D$59:$I$147,6,FALSE),0))</f>
        <v/>
      </c>
      <c r="F40" s="140"/>
      <c r="G40" s="141"/>
      <c r="H40" s="142">
        <f>IFERROR(VLOOKUP(G40,'Master Data'!$C$336:$I$353,7,FALSE),0)</f>
        <v>0</v>
      </c>
      <c r="I40" s="143">
        <f>IFERROR(VLOOKUP(H40,'Master Data'!$B$336:$D$351,3,FALSE),0)</f>
        <v>0</v>
      </c>
      <c r="J40" s="144">
        <f>IFERROR(VLOOKUP(H40,'Master Data'!$B$336:$H$353,7,FALSE),0)</f>
        <v>0</v>
      </c>
      <c r="K40" s="145"/>
      <c r="L40" s="146" t="str">
        <f>IFERROR(IF(I40="FIXED ASSET",J40&amp;E40&amp;K40,VLOOKUP(F40,'Master Data'!$E$59:$H$144,4,FALSE)&amp;"-"&amp;J40&amp;"-"&amp;K40),"-")</f>
        <v>-</v>
      </c>
      <c r="M40" s="158"/>
      <c r="N40" s="159"/>
      <c r="O40" s="157"/>
      <c r="P40" s="157"/>
      <c r="Q40" s="157"/>
      <c r="R40" s="157"/>
      <c r="S40" s="157"/>
      <c r="T40" s="157"/>
      <c r="U40" s="157"/>
      <c r="V40" s="157"/>
      <c r="W40" s="157"/>
      <c r="X40" s="157"/>
      <c r="Y40" s="157"/>
      <c r="Z40" s="157"/>
      <c r="AA40" s="149">
        <f t="shared" si="10"/>
        <v>0</v>
      </c>
      <c r="AC40" s="157"/>
      <c r="AD40" s="157"/>
      <c r="AE40" s="157"/>
      <c r="AF40" s="157"/>
      <c r="AG40" s="157"/>
      <c r="AH40" s="157"/>
      <c r="AI40" s="157"/>
      <c r="AJ40" s="157"/>
      <c r="AK40" s="157"/>
      <c r="AL40" s="157"/>
      <c r="AM40" s="157"/>
      <c r="AN40" s="157"/>
      <c r="AO40" s="149">
        <f t="shared" si="3"/>
        <v>0</v>
      </c>
      <c r="AQ40" s="157"/>
      <c r="AR40" s="157"/>
      <c r="AS40" s="157"/>
      <c r="AT40" s="157"/>
      <c r="AU40" s="157"/>
      <c r="AV40" s="157"/>
      <c r="AW40" s="157"/>
      <c r="AX40" s="157"/>
      <c r="AY40" s="157"/>
      <c r="AZ40" s="157"/>
      <c r="BA40" s="157"/>
      <c r="BB40" s="157"/>
      <c r="BC40" s="149">
        <f t="shared" si="4"/>
        <v>0</v>
      </c>
      <c r="BD40" s="151">
        <f t="shared" si="5"/>
        <v>0</v>
      </c>
      <c r="BE40" s="141"/>
      <c r="BF40" s="152"/>
      <c r="BG40" s="152"/>
      <c r="BH40" s="152"/>
      <c r="BI40" s="153">
        <f t="shared" si="6"/>
        <v>0</v>
      </c>
      <c r="BJ40" s="152"/>
      <c r="BK40" s="154" t="str">
        <f t="shared" si="9"/>
        <v/>
      </c>
      <c r="BL40" s="154" t="str">
        <f t="shared" si="7"/>
        <v/>
      </c>
      <c r="BM40" s="154" t="str">
        <f t="shared" si="8"/>
        <v/>
      </c>
      <c r="BN40" s="155"/>
    </row>
    <row r="41" spans="1:66" ht="15" customHeight="1" x14ac:dyDescent="0.35">
      <c r="A41" s="137" t="str">
        <f>IF(D41="","",Cover!$D$8)</f>
        <v/>
      </c>
      <c r="B41" s="137" t="str">
        <f>IF(D41="","",Cover!$D$7)</f>
        <v/>
      </c>
      <c r="C41" s="138" t="str">
        <f>IF(F41="","",IFERROR(VLOOKUP(F41,'Master Data'!$E$59:$J$144,6,FALSE),0))</f>
        <v/>
      </c>
      <c r="D41" s="139" t="str">
        <f>IF(F41="","",IFERROR(VLOOKUP(F41,'Master Data'!$E$59:$L$147,8,FALSE),0))</f>
        <v/>
      </c>
      <c r="E41" s="138" t="str">
        <f>IF(D41="","",IFERROR(VLOOKUP(D41,'Master Data'!$D$59:$I$147,6,FALSE),0))</f>
        <v/>
      </c>
      <c r="F41" s="140"/>
      <c r="G41" s="141"/>
      <c r="H41" s="142">
        <f>IFERROR(VLOOKUP(G41,'Master Data'!$C$336:$I$353,7,FALSE),0)</f>
        <v>0</v>
      </c>
      <c r="I41" s="143">
        <f>IFERROR(VLOOKUP(H41,'Master Data'!$B$336:$D$351,3,FALSE),0)</f>
        <v>0</v>
      </c>
      <c r="J41" s="144">
        <f>IFERROR(VLOOKUP(H41,'Master Data'!$B$336:$H$353,7,FALSE),0)</f>
        <v>0</v>
      </c>
      <c r="K41" s="145"/>
      <c r="L41" s="146" t="str">
        <f>IFERROR(IF(I41="FIXED ASSET",J41&amp;E41&amp;K41,VLOOKUP(F41,'Master Data'!$E$59:$H$144,4,FALSE)&amp;"-"&amp;J41&amp;"-"&amp;K41),"-")</f>
        <v>-</v>
      </c>
      <c r="M41" s="158"/>
      <c r="N41" s="159"/>
      <c r="O41" s="157"/>
      <c r="P41" s="157"/>
      <c r="Q41" s="157"/>
      <c r="R41" s="157"/>
      <c r="S41" s="157"/>
      <c r="T41" s="157"/>
      <c r="U41" s="157"/>
      <c r="V41" s="157"/>
      <c r="W41" s="157"/>
      <c r="X41" s="157"/>
      <c r="Y41" s="157"/>
      <c r="Z41" s="157"/>
      <c r="AA41" s="149">
        <f t="shared" si="10"/>
        <v>0</v>
      </c>
      <c r="AC41" s="157"/>
      <c r="AD41" s="157"/>
      <c r="AE41" s="157"/>
      <c r="AF41" s="157"/>
      <c r="AG41" s="157"/>
      <c r="AH41" s="157"/>
      <c r="AI41" s="157"/>
      <c r="AJ41" s="157"/>
      <c r="AK41" s="157"/>
      <c r="AL41" s="157"/>
      <c r="AM41" s="157"/>
      <c r="AN41" s="157"/>
      <c r="AO41" s="149">
        <f t="shared" si="3"/>
        <v>0</v>
      </c>
      <c r="AQ41" s="157"/>
      <c r="AR41" s="157"/>
      <c r="AS41" s="157"/>
      <c r="AT41" s="157"/>
      <c r="AU41" s="157"/>
      <c r="AV41" s="157"/>
      <c r="AW41" s="157"/>
      <c r="AX41" s="157"/>
      <c r="AY41" s="157"/>
      <c r="AZ41" s="157"/>
      <c r="BA41" s="157"/>
      <c r="BB41" s="157"/>
      <c r="BC41" s="149">
        <f t="shared" si="4"/>
        <v>0</v>
      </c>
      <c r="BD41" s="151">
        <f t="shared" si="5"/>
        <v>0</v>
      </c>
      <c r="BE41" s="141"/>
      <c r="BF41" s="152"/>
      <c r="BG41" s="152"/>
      <c r="BH41" s="152"/>
      <c r="BI41" s="153">
        <f t="shared" si="6"/>
        <v>0</v>
      </c>
      <c r="BJ41" s="152"/>
      <c r="BK41" s="154" t="str">
        <f t="shared" si="9"/>
        <v/>
      </c>
      <c r="BL41" s="154" t="str">
        <f t="shared" si="7"/>
        <v/>
      </c>
      <c r="BM41" s="154" t="str">
        <f t="shared" si="8"/>
        <v/>
      </c>
      <c r="BN41" s="155"/>
    </row>
    <row r="42" spans="1:66" ht="15" customHeight="1" x14ac:dyDescent="0.35">
      <c r="A42" s="137" t="str">
        <f>IF(D42="","",Cover!$D$8)</f>
        <v/>
      </c>
      <c r="B42" s="137" t="str">
        <f>IF(D42="","",Cover!$D$7)</f>
        <v/>
      </c>
      <c r="C42" s="138" t="str">
        <f>IF(F42="","",IFERROR(VLOOKUP(F42,'Master Data'!$E$59:$J$144,6,FALSE),0))</f>
        <v/>
      </c>
      <c r="D42" s="139" t="str">
        <f>IF(F42="","",IFERROR(VLOOKUP(F42,'Master Data'!$E$59:$L$147,8,FALSE),0))</f>
        <v/>
      </c>
      <c r="E42" s="138" t="str">
        <f>IF(D42="","",IFERROR(VLOOKUP(D42,'Master Data'!$D$59:$I$147,6,FALSE),0))</f>
        <v/>
      </c>
      <c r="F42" s="140"/>
      <c r="G42" s="141"/>
      <c r="H42" s="142">
        <f>IFERROR(VLOOKUP(G42,'Master Data'!$C$336:$I$353,7,FALSE),0)</f>
        <v>0</v>
      </c>
      <c r="I42" s="143">
        <f>IFERROR(VLOOKUP(H42,'Master Data'!$B$336:$D$351,3,FALSE),0)</f>
        <v>0</v>
      </c>
      <c r="J42" s="144">
        <f>IFERROR(VLOOKUP(H42,'Master Data'!$B$336:$H$353,7,FALSE),0)</f>
        <v>0</v>
      </c>
      <c r="K42" s="145"/>
      <c r="L42" s="146" t="str">
        <f>IFERROR(IF(I42="FIXED ASSET",J42&amp;E42&amp;K42,VLOOKUP(F42,'Master Data'!$E$59:$H$144,4,FALSE)&amp;"-"&amp;J42&amp;"-"&amp;K42),"-")</f>
        <v>-</v>
      </c>
      <c r="M42" s="158"/>
      <c r="N42" s="159"/>
      <c r="O42" s="157"/>
      <c r="P42" s="157"/>
      <c r="Q42" s="157"/>
      <c r="R42" s="157"/>
      <c r="S42" s="157"/>
      <c r="T42" s="157"/>
      <c r="U42" s="157"/>
      <c r="V42" s="157"/>
      <c r="W42" s="157"/>
      <c r="X42" s="157"/>
      <c r="Y42" s="157"/>
      <c r="Z42" s="157"/>
      <c r="AA42" s="149">
        <f t="shared" si="10"/>
        <v>0</v>
      </c>
      <c r="AC42" s="157"/>
      <c r="AD42" s="157"/>
      <c r="AE42" s="157"/>
      <c r="AF42" s="157"/>
      <c r="AG42" s="157"/>
      <c r="AH42" s="157"/>
      <c r="AI42" s="157"/>
      <c r="AJ42" s="157"/>
      <c r="AK42" s="157"/>
      <c r="AL42" s="157"/>
      <c r="AM42" s="157"/>
      <c r="AN42" s="157"/>
      <c r="AO42" s="149">
        <f t="shared" si="3"/>
        <v>0</v>
      </c>
      <c r="AQ42" s="157"/>
      <c r="AR42" s="157"/>
      <c r="AS42" s="157"/>
      <c r="AT42" s="157"/>
      <c r="AU42" s="157"/>
      <c r="AV42" s="157"/>
      <c r="AW42" s="157"/>
      <c r="AX42" s="157"/>
      <c r="AY42" s="157"/>
      <c r="AZ42" s="157"/>
      <c r="BA42" s="157"/>
      <c r="BB42" s="157"/>
      <c r="BC42" s="149">
        <f t="shared" si="4"/>
        <v>0</v>
      </c>
      <c r="BD42" s="151">
        <f t="shared" si="5"/>
        <v>0</v>
      </c>
      <c r="BE42" s="141"/>
      <c r="BF42" s="152"/>
      <c r="BG42" s="152"/>
      <c r="BH42" s="152"/>
      <c r="BI42" s="153">
        <f t="shared" si="6"/>
        <v>0</v>
      </c>
      <c r="BJ42" s="152"/>
      <c r="BK42" s="154" t="str">
        <f t="shared" si="9"/>
        <v/>
      </c>
      <c r="BL42" s="154" t="str">
        <f t="shared" si="7"/>
        <v/>
      </c>
      <c r="BM42" s="154" t="str">
        <f t="shared" si="8"/>
        <v/>
      </c>
      <c r="BN42" s="155"/>
    </row>
    <row r="43" spans="1:66" ht="15" customHeight="1" x14ac:dyDescent="0.35">
      <c r="A43" s="137" t="str">
        <f>IF(D43="","",Cover!$D$8)</f>
        <v/>
      </c>
      <c r="B43" s="137" t="str">
        <f>IF(D43="","",Cover!$D$7)</f>
        <v/>
      </c>
      <c r="C43" s="138" t="str">
        <f>IF(F43="","",IFERROR(VLOOKUP(F43,'Master Data'!$E$59:$J$144,6,FALSE),0))</f>
        <v/>
      </c>
      <c r="D43" s="139" t="str">
        <f>IF(F43="","",IFERROR(VLOOKUP(F43,'Master Data'!$E$59:$L$147,8,FALSE),0))</f>
        <v/>
      </c>
      <c r="E43" s="138" t="str">
        <f>IF(D43="","",IFERROR(VLOOKUP(D43,'Master Data'!$D$59:$I$147,6,FALSE),0))</f>
        <v/>
      </c>
      <c r="F43" s="140"/>
      <c r="G43" s="141"/>
      <c r="H43" s="142">
        <f>IFERROR(VLOOKUP(G43,'Master Data'!$C$336:$I$353,7,FALSE),0)</f>
        <v>0</v>
      </c>
      <c r="I43" s="143">
        <f>IFERROR(VLOOKUP(H43,'Master Data'!$B$336:$D$351,3,FALSE),0)</f>
        <v>0</v>
      </c>
      <c r="J43" s="144">
        <f>IFERROR(VLOOKUP(H43,'Master Data'!$B$336:$H$353,7,FALSE),0)</f>
        <v>0</v>
      </c>
      <c r="K43" s="145"/>
      <c r="L43" s="146" t="str">
        <f>IFERROR(IF(I43="FIXED ASSET",J43&amp;E43&amp;K43,VLOOKUP(F43,'Master Data'!$E$59:$H$144,4,FALSE)&amp;"-"&amp;J43&amp;"-"&amp;K43),"-")</f>
        <v>-</v>
      </c>
      <c r="M43" s="158"/>
      <c r="N43" s="159"/>
      <c r="O43" s="157"/>
      <c r="P43" s="157"/>
      <c r="Q43" s="157"/>
      <c r="R43" s="157"/>
      <c r="S43" s="157"/>
      <c r="T43" s="157"/>
      <c r="U43" s="157"/>
      <c r="V43" s="157"/>
      <c r="W43" s="157"/>
      <c r="X43" s="157"/>
      <c r="Y43" s="157"/>
      <c r="Z43" s="157"/>
      <c r="AA43" s="149">
        <f t="shared" si="10"/>
        <v>0</v>
      </c>
      <c r="AC43" s="157"/>
      <c r="AD43" s="157"/>
      <c r="AE43" s="157"/>
      <c r="AF43" s="157"/>
      <c r="AG43" s="157"/>
      <c r="AH43" s="157"/>
      <c r="AI43" s="157"/>
      <c r="AJ43" s="157"/>
      <c r="AK43" s="157"/>
      <c r="AL43" s="157"/>
      <c r="AM43" s="157"/>
      <c r="AN43" s="157"/>
      <c r="AO43" s="149">
        <f t="shared" si="3"/>
        <v>0</v>
      </c>
      <c r="AQ43" s="157"/>
      <c r="AR43" s="157"/>
      <c r="AS43" s="157"/>
      <c r="AT43" s="157"/>
      <c r="AU43" s="157"/>
      <c r="AV43" s="157"/>
      <c r="AW43" s="157"/>
      <c r="AX43" s="157"/>
      <c r="AY43" s="157"/>
      <c r="AZ43" s="157"/>
      <c r="BA43" s="157"/>
      <c r="BB43" s="157"/>
      <c r="BC43" s="149">
        <f t="shared" si="4"/>
        <v>0</v>
      </c>
      <c r="BD43" s="151">
        <f t="shared" si="5"/>
        <v>0</v>
      </c>
      <c r="BE43" s="141"/>
      <c r="BF43" s="152"/>
      <c r="BG43" s="152"/>
      <c r="BH43" s="152"/>
      <c r="BI43" s="153">
        <f t="shared" si="6"/>
        <v>0</v>
      </c>
      <c r="BJ43" s="152"/>
      <c r="BK43" s="154" t="str">
        <f t="shared" si="9"/>
        <v/>
      </c>
      <c r="BL43" s="154" t="str">
        <f t="shared" si="7"/>
        <v/>
      </c>
      <c r="BM43" s="154" t="str">
        <f t="shared" si="8"/>
        <v/>
      </c>
      <c r="BN43" s="155"/>
    </row>
    <row r="44" spans="1:66" ht="15" customHeight="1" x14ac:dyDescent="0.35">
      <c r="A44" s="137" t="str">
        <f>IF(D44="","",Cover!$D$8)</f>
        <v/>
      </c>
      <c r="B44" s="137" t="str">
        <f>IF(D44="","",Cover!$D$7)</f>
        <v/>
      </c>
      <c r="C44" s="138" t="str">
        <f>IF(F44="","",IFERROR(VLOOKUP(F44,'Master Data'!$E$59:$J$144,6,FALSE),0))</f>
        <v/>
      </c>
      <c r="D44" s="139" t="str">
        <f>IF(F44="","",IFERROR(VLOOKUP(F44,'Master Data'!$E$59:$L$147,8,FALSE),0))</f>
        <v/>
      </c>
      <c r="E44" s="138" t="str">
        <f>IF(D44="","",IFERROR(VLOOKUP(D44,'Master Data'!$D$59:$I$147,6,FALSE),0))</f>
        <v/>
      </c>
      <c r="F44" s="140"/>
      <c r="G44" s="141"/>
      <c r="H44" s="142">
        <f>IFERROR(VLOOKUP(G44,'Master Data'!$C$336:$I$353,7,FALSE),0)</f>
        <v>0</v>
      </c>
      <c r="I44" s="143">
        <f>IFERROR(VLOOKUP(H44,'Master Data'!$B$336:$D$351,3,FALSE),0)</f>
        <v>0</v>
      </c>
      <c r="J44" s="144">
        <f>IFERROR(VLOOKUP(H44,'Master Data'!$B$336:$H$353,7,FALSE),0)</f>
        <v>0</v>
      </c>
      <c r="K44" s="145"/>
      <c r="L44" s="146" t="str">
        <f>IFERROR(IF(I44="FIXED ASSET",J44&amp;E44&amp;K44,VLOOKUP(F44,'Master Data'!$E$59:$H$144,4,FALSE)&amp;"-"&amp;J44&amp;"-"&amp;K44),"-")</f>
        <v>-</v>
      </c>
      <c r="M44" s="158"/>
      <c r="N44" s="159"/>
      <c r="O44" s="157"/>
      <c r="P44" s="157"/>
      <c r="Q44" s="157"/>
      <c r="R44" s="157"/>
      <c r="S44" s="157"/>
      <c r="T44" s="157"/>
      <c r="U44" s="157"/>
      <c r="V44" s="157"/>
      <c r="W44" s="157"/>
      <c r="X44" s="157"/>
      <c r="Y44" s="157"/>
      <c r="Z44" s="157"/>
      <c r="AA44" s="149">
        <f t="shared" si="10"/>
        <v>0</v>
      </c>
      <c r="AC44" s="157"/>
      <c r="AD44" s="157"/>
      <c r="AE44" s="157"/>
      <c r="AF44" s="157"/>
      <c r="AG44" s="157"/>
      <c r="AH44" s="157"/>
      <c r="AI44" s="157"/>
      <c r="AJ44" s="157"/>
      <c r="AK44" s="157"/>
      <c r="AL44" s="157"/>
      <c r="AM44" s="157"/>
      <c r="AN44" s="157"/>
      <c r="AO44" s="149">
        <f t="shared" si="3"/>
        <v>0</v>
      </c>
      <c r="AQ44" s="157"/>
      <c r="AR44" s="157"/>
      <c r="AS44" s="157"/>
      <c r="AT44" s="157"/>
      <c r="AU44" s="157"/>
      <c r="AV44" s="157"/>
      <c r="AW44" s="157"/>
      <c r="AX44" s="157"/>
      <c r="AY44" s="157"/>
      <c r="AZ44" s="157"/>
      <c r="BA44" s="157"/>
      <c r="BB44" s="157"/>
      <c r="BC44" s="149">
        <f t="shared" si="4"/>
        <v>0</v>
      </c>
      <c r="BD44" s="151">
        <f t="shared" si="5"/>
        <v>0</v>
      </c>
      <c r="BE44" s="141"/>
      <c r="BF44" s="152"/>
      <c r="BG44" s="152"/>
      <c r="BH44" s="152"/>
      <c r="BI44" s="153">
        <f t="shared" si="6"/>
        <v>0</v>
      </c>
      <c r="BJ44" s="152"/>
      <c r="BK44" s="154" t="str">
        <f t="shared" si="9"/>
        <v/>
      </c>
      <c r="BL44" s="154" t="str">
        <f t="shared" si="7"/>
        <v/>
      </c>
      <c r="BM44" s="154" t="str">
        <f t="shared" si="8"/>
        <v/>
      </c>
      <c r="BN44" s="155"/>
    </row>
    <row r="45" spans="1:66" ht="15" customHeight="1" x14ac:dyDescent="0.35">
      <c r="A45" s="137" t="str">
        <f>IF(D45="","",Cover!$D$8)</f>
        <v/>
      </c>
      <c r="B45" s="137" t="str">
        <f>IF(D45="","",Cover!$D$7)</f>
        <v/>
      </c>
      <c r="C45" s="138" t="str">
        <f>IF(F45="","",IFERROR(VLOOKUP(F45,'Master Data'!$E$59:$J$144,6,FALSE),0))</f>
        <v/>
      </c>
      <c r="D45" s="139" t="str">
        <f>IF(F45="","",IFERROR(VLOOKUP(F45,'Master Data'!$E$59:$L$147,8,FALSE),0))</f>
        <v/>
      </c>
      <c r="E45" s="138" t="str">
        <f>IF(D45="","",IFERROR(VLOOKUP(D45,'Master Data'!$D$59:$I$147,6,FALSE),0))</f>
        <v/>
      </c>
      <c r="F45" s="140"/>
      <c r="G45" s="141"/>
      <c r="H45" s="142">
        <f>IFERROR(VLOOKUP(G45,'Master Data'!$C$336:$I$353,7,FALSE),0)</f>
        <v>0</v>
      </c>
      <c r="I45" s="143">
        <f>IFERROR(VLOOKUP(H45,'Master Data'!$B$336:$D$351,3,FALSE),0)</f>
        <v>0</v>
      </c>
      <c r="J45" s="144">
        <f>IFERROR(VLOOKUP(H45,'Master Data'!$B$336:$H$353,7,FALSE),0)</f>
        <v>0</v>
      </c>
      <c r="K45" s="145"/>
      <c r="L45" s="146" t="str">
        <f>IFERROR(IF(I45="FIXED ASSET",J45&amp;E45&amp;K45,VLOOKUP(F45,'Master Data'!$E$59:$H$144,4,FALSE)&amp;"-"&amp;J45&amp;"-"&amp;K45),"-")</f>
        <v>-</v>
      </c>
      <c r="M45" s="158"/>
      <c r="N45" s="159"/>
      <c r="O45" s="157"/>
      <c r="P45" s="157"/>
      <c r="Q45" s="157"/>
      <c r="R45" s="157"/>
      <c r="S45" s="157"/>
      <c r="T45" s="157"/>
      <c r="U45" s="157"/>
      <c r="V45" s="157"/>
      <c r="W45" s="157"/>
      <c r="X45" s="157"/>
      <c r="Y45" s="157"/>
      <c r="Z45" s="157"/>
      <c r="AA45" s="149">
        <f t="shared" si="10"/>
        <v>0</v>
      </c>
      <c r="AC45" s="157"/>
      <c r="AD45" s="157"/>
      <c r="AE45" s="157"/>
      <c r="AF45" s="157"/>
      <c r="AG45" s="157"/>
      <c r="AH45" s="157"/>
      <c r="AI45" s="157"/>
      <c r="AJ45" s="157"/>
      <c r="AK45" s="157"/>
      <c r="AL45" s="157"/>
      <c r="AM45" s="157"/>
      <c r="AN45" s="157"/>
      <c r="AO45" s="149">
        <f t="shared" si="3"/>
        <v>0</v>
      </c>
      <c r="AQ45" s="157"/>
      <c r="AR45" s="157"/>
      <c r="AS45" s="157"/>
      <c r="AT45" s="157"/>
      <c r="AU45" s="157"/>
      <c r="AV45" s="157"/>
      <c r="AW45" s="157"/>
      <c r="AX45" s="157"/>
      <c r="AY45" s="157"/>
      <c r="AZ45" s="157"/>
      <c r="BA45" s="157"/>
      <c r="BB45" s="157"/>
      <c r="BC45" s="149">
        <f t="shared" si="4"/>
        <v>0</v>
      </c>
      <c r="BD45" s="151">
        <f t="shared" si="5"/>
        <v>0</v>
      </c>
      <c r="BE45" s="141"/>
      <c r="BF45" s="152"/>
      <c r="BG45" s="152"/>
      <c r="BH45" s="152"/>
      <c r="BI45" s="153">
        <f t="shared" si="6"/>
        <v>0</v>
      </c>
      <c r="BJ45" s="152"/>
      <c r="BK45" s="154" t="str">
        <f t="shared" si="9"/>
        <v/>
      </c>
      <c r="BL45" s="154" t="str">
        <f t="shared" si="7"/>
        <v/>
      </c>
      <c r="BM45" s="154" t="str">
        <f t="shared" si="8"/>
        <v/>
      </c>
      <c r="BN45" s="155"/>
    </row>
    <row r="46" spans="1:66" ht="15" customHeight="1" x14ac:dyDescent="0.35">
      <c r="A46" s="137" t="str">
        <f>IF(D46="","",Cover!$D$8)</f>
        <v/>
      </c>
      <c r="B46" s="137" t="str">
        <f>IF(D46="","",Cover!$D$7)</f>
        <v/>
      </c>
      <c r="C46" s="138" t="str">
        <f>IF(F46="","",IFERROR(VLOOKUP(F46,'Master Data'!$E$59:$J$144,6,FALSE),0))</f>
        <v/>
      </c>
      <c r="D46" s="139" t="str">
        <f>IF(F46="","",IFERROR(VLOOKUP(F46,'Master Data'!$E$59:$L$147,8,FALSE),0))</f>
        <v/>
      </c>
      <c r="E46" s="138" t="str">
        <f>IF(D46="","",IFERROR(VLOOKUP(D46,'Master Data'!$D$59:$I$147,6,FALSE),0))</f>
        <v/>
      </c>
      <c r="F46" s="140"/>
      <c r="G46" s="141"/>
      <c r="H46" s="142">
        <f>IFERROR(VLOOKUP(G46,'Master Data'!$C$336:$I$353,7,FALSE),0)</f>
        <v>0</v>
      </c>
      <c r="I46" s="143">
        <f>IFERROR(VLOOKUP(H46,'Master Data'!$B$336:$D$351,3,FALSE),0)</f>
        <v>0</v>
      </c>
      <c r="J46" s="144">
        <f>IFERROR(VLOOKUP(H46,'Master Data'!$B$336:$H$353,7,FALSE),0)</f>
        <v>0</v>
      </c>
      <c r="K46" s="145"/>
      <c r="L46" s="146" t="str">
        <f>IFERROR(IF(I46="FIXED ASSET",J46&amp;E46&amp;K46,VLOOKUP(F46,'Master Data'!$E$59:$H$144,4,FALSE)&amp;"-"&amp;J46&amp;"-"&amp;K46),"-")</f>
        <v>-</v>
      </c>
      <c r="M46" s="158"/>
      <c r="N46" s="159"/>
      <c r="O46" s="157"/>
      <c r="P46" s="157"/>
      <c r="Q46" s="157"/>
      <c r="R46" s="157"/>
      <c r="S46" s="157"/>
      <c r="T46" s="157"/>
      <c r="U46" s="157"/>
      <c r="V46" s="157"/>
      <c r="W46" s="157"/>
      <c r="X46" s="157"/>
      <c r="Y46" s="157"/>
      <c r="Z46" s="157"/>
      <c r="AA46" s="149">
        <f t="shared" si="10"/>
        <v>0</v>
      </c>
      <c r="AC46" s="157"/>
      <c r="AD46" s="157"/>
      <c r="AE46" s="157"/>
      <c r="AF46" s="157"/>
      <c r="AG46" s="157"/>
      <c r="AH46" s="157"/>
      <c r="AI46" s="157"/>
      <c r="AJ46" s="157"/>
      <c r="AK46" s="157"/>
      <c r="AL46" s="157"/>
      <c r="AM46" s="157"/>
      <c r="AN46" s="157"/>
      <c r="AO46" s="149">
        <f t="shared" si="3"/>
        <v>0</v>
      </c>
      <c r="AQ46" s="157"/>
      <c r="AR46" s="157"/>
      <c r="AS46" s="157"/>
      <c r="AT46" s="157"/>
      <c r="AU46" s="157"/>
      <c r="AV46" s="157"/>
      <c r="AW46" s="157"/>
      <c r="AX46" s="157"/>
      <c r="AY46" s="157"/>
      <c r="AZ46" s="157"/>
      <c r="BA46" s="157"/>
      <c r="BB46" s="157"/>
      <c r="BC46" s="149">
        <f t="shared" si="4"/>
        <v>0</v>
      </c>
      <c r="BD46" s="151">
        <f t="shared" si="5"/>
        <v>0</v>
      </c>
      <c r="BE46" s="141"/>
      <c r="BF46" s="152"/>
      <c r="BG46" s="152"/>
      <c r="BH46" s="152"/>
      <c r="BI46" s="153">
        <f t="shared" si="6"/>
        <v>0</v>
      </c>
      <c r="BJ46" s="152"/>
      <c r="BK46" s="154" t="str">
        <f t="shared" si="9"/>
        <v/>
      </c>
      <c r="BL46" s="154" t="str">
        <f t="shared" si="7"/>
        <v/>
      </c>
      <c r="BM46" s="154" t="str">
        <f t="shared" si="8"/>
        <v/>
      </c>
      <c r="BN46" s="155"/>
    </row>
    <row r="47" spans="1:66" ht="15" customHeight="1" x14ac:dyDescent="0.35">
      <c r="A47" s="137" t="str">
        <f>IF(D47="","",Cover!$D$8)</f>
        <v/>
      </c>
      <c r="B47" s="137" t="str">
        <f>IF(D47="","",Cover!$D$7)</f>
        <v/>
      </c>
      <c r="C47" s="138" t="str">
        <f>IF(F47="","",IFERROR(VLOOKUP(F47,'Master Data'!$E$59:$J$144,6,FALSE),0))</f>
        <v/>
      </c>
      <c r="D47" s="139" t="str">
        <f>IF(F47="","",IFERROR(VLOOKUP(F47,'Master Data'!$E$59:$L$147,8,FALSE),0))</f>
        <v/>
      </c>
      <c r="E47" s="138" t="str">
        <f>IF(D47="","",IFERROR(VLOOKUP(D47,'Master Data'!$D$59:$I$147,6,FALSE),0))</f>
        <v/>
      </c>
      <c r="F47" s="140"/>
      <c r="G47" s="141"/>
      <c r="H47" s="142">
        <f>IFERROR(VLOOKUP(G47,'Master Data'!$C$336:$I$353,7,FALSE),0)</f>
        <v>0</v>
      </c>
      <c r="I47" s="143">
        <f>IFERROR(VLOOKUP(H47,'Master Data'!$B$336:$D$351,3,FALSE),0)</f>
        <v>0</v>
      </c>
      <c r="J47" s="144">
        <f>IFERROR(VLOOKUP(H47,'Master Data'!$B$336:$H$353,7,FALSE),0)</f>
        <v>0</v>
      </c>
      <c r="K47" s="145"/>
      <c r="L47" s="146" t="str">
        <f>IFERROR(IF(I47="FIXED ASSET",J47&amp;E47&amp;K47,VLOOKUP(F47,'Master Data'!$E$59:$H$144,4,FALSE)&amp;"-"&amp;J47&amp;"-"&amp;K47),"-")</f>
        <v>-</v>
      </c>
      <c r="M47" s="158"/>
      <c r="N47" s="159"/>
      <c r="O47" s="157"/>
      <c r="P47" s="157"/>
      <c r="Q47" s="157"/>
      <c r="R47" s="157"/>
      <c r="S47" s="157"/>
      <c r="T47" s="157"/>
      <c r="U47" s="157"/>
      <c r="V47" s="157"/>
      <c r="W47" s="157"/>
      <c r="X47" s="157"/>
      <c r="Y47" s="157"/>
      <c r="Z47" s="157"/>
      <c r="AA47" s="149">
        <f t="shared" si="10"/>
        <v>0</v>
      </c>
      <c r="AC47" s="157"/>
      <c r="AD47" s="157"/>
      <c r="AE47" s="157"/>
      <c r="AF47" s="157"/>
      <c r="AG47" s="157"/>
      <c r="AH47" s="157"/>
      <c r="AI47" s="157"/>
      <c r="AJ47" s="157"/>
      <c r="AK47" s="157"/>
      <c r="AL47" s="157"/>
      <c r="AM47" s="157"/>
      <c r="AN47" s="157"/>
      <c r="AO47" s="149">
        <f t="shared" si="3"/>
        <v>0</v>
      </c>
      <c r="AQ47" s="157"/>
      <c r="AR47" s="157"/>
      <c r="AS47" s="157"/>
      <c r="AT47" s="157"/>
      <c r="AU47" s="157"/>
      <c r="AV47" s="157"/>
      <c r="AW47" s="157"/>
      <c r="AX47" s="157"/>
      <c r="AY47" s="157"/>
      <c r="AZ47" s="157"/>
      <c r="BA47" s="157"/>
      <c r="BB47" s="157"/>
      <c r="BC47" s="149">
        <f t="shared" si="4"/>
        <v>0</v>
      </c>
      <c r="BD47" s="151">
        <f t="shared" si="5"/>
        <v>0</v>
      </c>
      <c r="BE47" s="141"/>
      <c r="BF47" s="152"/>
      <c r="BG47" s="152"/>
      <c r="BH47" s="152"/>
      <c r="BI47" s="153">
        <f t="shared" si="6"/>
        <v>0</v>
      </c>
      <c r="BJ47" s="152"/>
      <c r="BK47" s="154" t="str">
        <f t="shared" si="9"/>
        <v/>
      </c>
      <c r="BL47" s="154" t="str">
        <f t="shared" si="7"/>
        <v/>
      </c>
      <c r="BM47" s="154" t="str">
        <f t="shared" si="8"/>
        <v/>
      </c>
      <c r="BN47" s="155"/>
    </row>
    <row r="48" spans="1:66" ht="15" customHeight="1" x14ac:dyDescent="0.35">
      <c r="A48" s="137" t="str">
        <f>IF(D48="","",Cover!$D$8)</f>
        <v/>
      </c>
      <c r="B48" s="137" t="str">
        <f>IF(D48="","",Cover!$D$7)</f>
        <v/>
      </c>
      <c r="C48" s="138" t="str">
        <f>IF(F48="","",IFERROR(VLOOKUP(F48,'Master Data'!$E$59:$J$144,6,FALSE),0))</f>
        <v/>
      </c>
      <c r="D48" s="139" t="str">
        <f>IF(F48="","",IFERROR(VLOOKUP(F48,'Master Data'!$E$59:$L$147,8,FALSE),0))</f>
        <v/>
      </c>
      <c r="E48" s="138" t="str">
        <f>IF(D48="","",IFERROR(VLOOKUP(D48,'Master Data'!$D$59:$I$147,6,FALSE),0))</f>
        <v/>
      </c>
      <c r="F48" s="140"/>
      <c r="G48" s="141"/>
      <c r="H48" s="142">
        <f>IFERROR(VLOOKUP(G48,'Master Data'!$C$336:$I$353,7,FALSE),0)</f>
        <v>0</v>
      </c>
      <c r="I48" s="143">
        <f>IFERROR(VLOOKUP(H48,'Master Data'!$B$336:$D$351,3,FALSE),0)</f>
        <v>0</v>
      </c>
      <c r="J48" s="144">
        <f>IFERROR(VLOOKUP(H48,'Master Data'!$B$336:$H$353,7,FALSE),0)</f>
        <v>0</v>
      </c>
      <c r="K48" s="145"/>
      <c r="L48" s="146" t="str">
        <f>IFERROR(IF(I48="FIXED ASSET",J48&amp;E48&amp;K48,VLOOKUP(F48,'Master Data'!$E$59:$H$144,4,FALSE)&amp;"-"&amp;J48&amp;"-"&amp;K48),"-")</f>
        <v>-</v>
      </c>
      <c r="M48" s="158"/>
      <c r="N48" s="159"/>
      <c r="O48" s="157"/>
      <c r="P48" s="157"/>
      <c r="Q48" s="157"/>
      <c r="R48" s="157"/>
      <c r="S48" s="157"/>
      <c r="T48" s="157"/>
      <c r="U48" s="157"/>
      <c r="V48" s="157"/>
      <c r="W48" s="157"/>
      <c r="X48" s="157"/>
      <c r="Y48" s="157"/>
      <c r="Z48" s="157"/>
      <c r="AA48" s="149">
        <f t="shared" si="10"/>
        <v>0</v>
      </c>
      <c r="AC48" s="157"/>
      <c r="AD48" s="157"/>
      <c r="AE48" s="157"/>
      <c r="AF48" s="157"/>
      <c r="AG48" s="157"/>
      <c r="AH48" s="157"/>
      <c r="AI48" s="157"/>
      <c r="AJ48" s="157"/>
      <c r="AK48" s="157"/>
      <c r="AL48" s="157"/>
      <c r="AM48" s="157"/>
      <c r="AN48" s="157"/>
      <c r="AO48" s="149">
        <f t="shared" si="3"/>
        <v>0</v>
      </c>
      <c r="AQ48" s="157"/>
      <c r="AR48" s="157"/>
      <c r="AS48" s="157"/>
      <c r="AT48" s="157"/>
      <c r="AU48" s="157"/>
      <c r="AV48" s="157"/>
      <c r="AW48" s="157"/>
      <c r="AX48" s="157"/>
      <c r="AY48" s="157"/>
      <c r="AZ48" s="157"/>
      <c r="BA48" s="157"/>
      <c r="BB48" s="157"/>
      <c r="BC48" s="149">
        <f t="shared" si="4"/>
        <v>0</v>
      </c>
      <c r="BD48" s="151">
        <f t="shared" si="5"/>
        <v>0</v>
      </c>
      <c r="BE48" s="141"/>
      <c r="BF48" s="152"/>
      <c r="BG48" s="152"/>
      <c r="BH48" s="152"/>
      <c r="BI48" s="153">
        <f t="shared" si="6"/>
        <v>0</v>
      </c>
      <c r="BJ48" s="152"/>
      <c r="BK48" s="154" t="str">
        <f t="shared" si="9"/>
        <v/>
      </c>
      <c r="BL48" s="154" t="str">
        <f t="shared" si="7"/>
        <v/>
      </c>
      <c r="BM48" s="154" t="str">
        <f t="shared" si="8"/>
        <v/>
      </c>
      <c r="BN48" s="155"/>
    </row>
    <row r="49" spans="1:66" ht="15" customHeight="1" x14ac:dyDescent="0.35">
      <c r="A49" s="137" t="str">
        <f>IF(D49="","",Cover!$D$8)</f>
        <v/>
      </c>
      <c r="B49" s="137" t="str">
        <f>IF(D49="","",Cover!$D$7)</f>
        <v/>
      </c>
      <c r="C49" s="138" t="str">
        <f>IF(F49="","",IFERROR(VLOOKUP(F49,'Master Data'!$E$59:$J$144,6,FALSE),0))</f>
        <v/>
      </c>
      <c r="D49" s="139" t="str">
        <f>IF(F49="","",IFERROR(VLOOKUP(F49,'Master Data'!$E$59:$L$147,8,FALSE),0))</f>
        <v/>
      </c>
      <c r="E49" s="138" t="str">
        <f>IF(D49="","",IFERROR(VLOOKUP(D49,'Master Data'!$D$59:$I$147,6,FALSE),0))</f>
        <v/>
      </c>
      <c r="F49" s="140"/>
      <c r="G49" s="141"/>
      <c r="H49" s="142">
        <f>IFERROR(VLOOKUP(G49,'Master Data'!$C$336:$I$353,7,FALSE),0)</f>
        <v>0</v>
      </c>
      <c r="I49" s="143">
        <f>IFERROR(VLOOKUP(H49,'Master Data'!$B$336:$D$351,3,FALSE),0)</f>
        <v>0</v>
      </c>
      <c r="J49" s="144">
        <f>IFERROR(VLOOKUP(H49,'Master Data'!$B$336:$H$353,7,FALSE),0)</f>
        <v>0</v>
      </c>
      <c r="K49" s="145"/>
      <c r="L49" s="146" t="str">
        <f>IFERROR(IF(I49="FIXED ASSET",J49&amp;E49&amp;K49,VLOOKUP(F49,'Master Data'!$E$59:$H$144,4,FALSE)&amp;"-"&amp;J49&amp;"-"&amp;K49),"-")</f>
        <v>-</v>
      </c>
      <c r="M49" s="158"/>
      <c r="N49" s="159"/>
      <c r="O49" s="157"/>
      <c r="P49" s="157"/>
      <c r="Q49" s="157"/>
      <c r="R49" s="157"/>
      <c r="S49" s="157"/>
      <c r="T49" s="157"/>
      <c r="U49" s="157"/>
      <c r="V49" s="157"/>
      <c r="W49" s="157"/>
      <c r="X49" s="157"/>
      <c r="Y49" s="157"/>
      <c r="Z49" s="157"/>
      <c r="AA49" s="149">
        <f t="shared" si="10"/>
        <v>0</v>
      </c>
      <c r="AC49" s="157"/>
      <c r="AD49" s="157"/>
      <c r="AE49" s="157"/>
      <c r="AF49" s="157"/>
      <c r="AG49" s="157"/>
      <c r="AH49" s="157"/>
      <c r="AI49" s="157"/>
      <c r="AJ49" s="157"/>
      <c r="AK49" s="157"/>
      <c r="AL49" s="157"/>
      <c r="AM49" s="157"/>
      <c r="AN49" s="157"/>
      <c r="AO49" s="149">
        <f t="shared" si="3"/>
        <v>0</v>
      </c>
      <c r="AQ49" s="157"/>
      <c r="AR49" s="157"/>
      <c r="AS49" s="157"/>
      <c r="AT49" s="157"/>
      <c r="AU49" s="157"/>
      <c r="AV49" s="157"/>
      <c r="AW49" s="157"/>
      <c r="AX49" s="157"/>
      <c r="AY49" s="157"/>
      <c r="AZ49" s="157"/>
      <c r="BA49" s="157"/>
      <c r="BB49" s="157"/>
      <c r="BC49" s="149">
        <f t="shared" si="4"/>
        <v>0</v>
      </c>
      <c r="BD49" s="151">
        <f t="shared" si="5"/>
        <v>0</v>
      </c>
      <c r="BE49" s="141"/>
      <c r="BF49" s="152"/>
      <c r="BG49" s="152"/>
      <c r="BH49" s="152"/>
      <c r="BI49" s="153">
        <f t="shared" si="6"/>
        <v>0</v>
      </c>
      <c r="BJ49" s="152"/>
      <c r="BK49" s="154" t="str">
        <f t="shared" si="9"/>
        <v/>
      </c>
      <c r="BL49" s="154" t="str">
        <f t="shared" si="7"/>
        <v/>
      </c>
      <c r="BM49" s="154" t="str">
        <f t="shared" si="8"/>
        <v/>
      </c>
      <c r="BN49" s="155"/>
    </row>
    <row r="50" spans="1:66" ht="15" customHeight="1" x14ac:dyDescent="0.35">
      <c r="A50" s="137" t="str">
        <f>IF(D50="","",Cover!$D$8)</f>
        <v/>
      </c>
      <c r="B50" s="137" t="str">
        <f>IF(D50="","",Cover!$D$7)</f>
        <v/>
      </c>
      <c r="C50" s="138" t="str">
        <f>IF(F50="","",IFERROR(VLOOKUP(F50,'Master Data'!$E$59:$J$144,6,FALSE),0))</f>
        <v/>
      </c>
      <c r="D50" s="139" t="str">
        <f>IF(F50="","",IFERROR(VLOOKUP(F50,'Master Data'!$E$59:$L$147,8,FALSE),0))</f>
        <v/>
      </c>
      <c r="E50" s="138" t="str">
        <f>IF(D50="","",IFERROR(VLOOKUP(D50,'Master Data'!$D$59:$I$147,6,FALSE),0))</f>
        <v/>
      </c>
      <c r="F50" s="140"/>
      <c r="G50" s="141"/>
      <c r="H50" s="142">
        <f>IFERROR(VLOOKUP(G50,'Master Data'!$C$336:$I$353,7,FALSE),0)</f>
        <v>0</v>
      </c>
      <c r="I50" s="143">
        <f>IFERROR(VLOOKUP(H50,'Master Data'!$B$336:$D$351,3,FALSE),0)</f>
        <v>0</v>
      </c>
      <c r="J50" s="144">
        <f>IFERROR(VLOOKUP(H50,'Master Data'!$B$336:$H$353,7,FALSE),0)</f>
        <v>0</v>
      </c>
      <c r="K50" s="145"/>
      <c r="L50" s="146" t="str">
        <f>IFERROR(IF(I50="FIXED ASSET",J50&amp;E50&amp;K50,VLOOKUP(F50,'Master Data'!$E$59:$H$144,4,FALSE)&amp;"-"&amp;J50&amp;"-"&amp;K50),"-")</f>
        <v>-</v>
      </c>
      <c r="M50" s="158"/>
      <c r="N50" s="159"/>
      <c r="O50" s="157"/>
      <c r="P50" s="157"/>
      <c r="Q50" s="157"/>
      <c r="R50" s="157"/>
      <c r="S50" s="157"/>
      <c r="T50" s="157"/>
      <c r="U50" s="157"/>
      <c r="V50" s="157"/>
      <c r="W50" s="157"/>
      <c r="X50" s="157"/>
      <c r="Y50" s="157"/>
      <c r="Z50" s="157"/>
      <c r="AA50" s="149">
        <f t="shared" si="10"/>
        <v>0</v>
      </c>
      <c r="AC50" s="157"/>
      <c r="AD50" s="157"/>
      <c r="AE50" s="157"/>
      <c r="AF50" s="157"/>
      <c r="AG50" s="157"/>
      <c r="AH50" s="157"/>
      <c r="AI50" s="157"/>
      <c r="AJ50" s="157"/>
      <c r="AK50" s="157"/>
      <c r="AL50" s="157"/>
      <c r="AM50" s="157"/>
      <c r="AN50" s="157"/>
      <c r="AO50" s="149">
        <f t="shared" si="3"/>
        <v>0</v>
      </c>
      <c r="AQ50" s="157"/>
      <c r="AR50" s="157"/>
      <c r="AS50" s="157"/>
      <c r="AT50" s="157"/>
      <c r="AU50" s="157"/>
      <c r="AV50" s="157"/>
      <c r="AW50" s="157"/>
      <c r="AX50" s="157"/>
      <c r="AY50" s="157"/>
      <c r="AZ50" s="157"/>
      <c r="BA50" s="157"/>
      <c r="BB50" s="157"/>
      <c r="BC50" s="149">
        <f t="shared" si="4"/>
        <v>0</v>
      </c>
      <c r="BD50" s="151">
        <f t="shared" si="5"/>
        <v>0</v>
      </c>
      <c r="BE50" s="141"/>
      <c r="BF50" s="152"/>
      <c r="BG50" s="152"/>
      <c r="BH50" s="152"/>
      <c r="BI50" s="153">
        <f t="shared" si="6"/>
        <v>0</v>
      </c>
      <c r="BJ50" s="152"/>
      <c r="BK50" s="154" t="str">
        <f t="shared" si="9"/>
        <v/>
      </c>
      <c r="BL50" s="154" t="str">
        <f t="shared" si="7"/>
        <v/>
      </c>
      <c r="BM50" s="154" t="str">
        <f t="shared" si="8"/>
        <v/>
      </c>
      <c r="BN50" s="155"/>
    </row>
    <row r="51" spans="1:66" ht="15" customHeight="1" x14ac:dyDescent="0.35">
      <c r="A51" s="137" t="str">
        <f>IF(D51="","",Cover!$D$8)</f>
        <v/>
      </c>
      <c r="B51" s="137" t="str">
        <f>IF(D51="","",Cover!$D$7)</f>
        <v/>
      </c>
      <c r="C51" s="138" t="str">
        <f>IF(F51="","",IFERROR(VLOOKUP(F51,'Master Data'!$E$59:$J$144,6,FALSE),0))</f>
        <v/>
      </c>
      <c r="D51" s="139" t="str">
        <f>IF(F51="","",IFERROR(VLOOKUP(F51,'Master Data'!$E$59:$L$147,8,FALSE),0))</f>
        <v/>
      </c>
      <c r="E51" s="138" t="str">
        <f>IF(D51="","",IFERROR(VLOOKUP(D51,'Master Data'!$D$59:$I$147,6,FALSE),0))</f>
        <v/>
      </c>
      <c r="F51" s="140"/>
      <c r="G51" s="141"/>
      <c r="H51" s="142">
        <f>IFERROR(VLOOKUP(G51,'Master Data'!$C$336:$I$353,7,FALSE),0)</f>
        <v>0</v>
      </c>
      <c r="I51" s="143">
        <f>IFERROR(VLOOKUP(H51,'Master Data'!$B$336:$D$351,3,FALSE),0)</f>
        <v>0</v>
      </c>
      <c r="J51" s="144">
        <f>IFERROR(VLOOKUP(H51,'Master Data'!$B$336:$H$353,7,FALSE),0)</f>
        <v>0</v>
      </c>
      <c r="K51" s="145"/>
      <c r="L51" s="146" t="str">
        <f>IFERROR(IF(I51="FIXED ASSET",J51&amp;E51&amp;K51,VLOOKUP(F51,'Master Data'!$E$59:$H$144,4,FALSE)&amp;"-"&amp;J51&amp;"-"&amp;K51),"-")</f>
        <v>-</v>
      </c>
      <c r="M51" s="158"/>
      <c r="N51" s="159"/>
      <c r="O51" s="157"/>
      <c r="P51" s="157"/>
      <c r="Q51" s="157"/>
      <c r="R51" s="157"/>
      <c r="S51" s="157"/>
      <c r="T51" s="157"/>
      <c r="U51" s="157"/>
      <c r="V51" s="157"/>
      <c r="W51" s="157"/>
      <c r="X51" s="157"/>
      <c r="Y51" s="157"/>
      <c r="Z51" s="157"/>
      <c r="AA51" s="149">
        <f t="shared" si="10"/>
        <v>0</v>
      </c>
      <c r="AC51" s="157"/>
      <c r="AD51" s="157"/>
      <c r="AE51" s="157"/>
      <c r="AF51" s="157"/>
      <c r="AG51" s="157"/>
      <c r="AH51" s="157"/>
      <c r="AI51" s="157"/>
      <c r="AJ51" s="157"/>
      <c r="AK51" s="157"/>
      <c r="AL51" s="157"/>
      <c r="AM51" s="157"/>
      <c r="AN51" s="157"/>
      <c r="AO51" s="149">
        <f t="shared" si="3"/>
        <v>0</v>
      </c>
      <c r="AQ51" s="157"/>
      <c r="AR51" s="157"/>
      <c r="AS51" s="157"/>
      <c r="AT51" s="157"/>
      <c r="AU51" s="157"/>
      <c r="AV51" s="157"/>
      <c r="AW51" s="157"/>
      <c r="AX51" s="157"/>
      <c r="AY51" s="157"/>
      <c r="AZ51" s="157"/>
      <c r="BA51" s="157"/>
      <c r="BB51" s="157"/>
      <c r="BC51" s="149">
        <f t="shared" si="4"/>
        <v>0</v>
      </c>
      <c r="BD51" s="151">
        <f t="shared" si="5"/>
        <v>0</v>
      </c>
      <c r="BE51" s="141"/>
      <c r="BF51" s="152"/>
      <c r="BG51" s="152"/>
      <c r="BH51" s="152"/>
      <c r="BI51" s="153">
        <f t="shared" si="6"/>
        <v>0</v>
      </c>
      <c r="BJ51" s="152"/>
      <c r="BK51" s="154" t="str">
        <f t="shared" si="9"/>
        <v/>
      </c>
      <c r="BL51" s="154" t="str">
        <f t="shared" si="7"/>
        <v/>
      </c>
      <c r="BM51" s="154" t="str">
        <f t="shared" si="8"/>
        <v/>
      </c>
      <c r="BN51" s="155"/>
    </row>
    <row r="52" spans="1:66" ht="15" customHeight="1" x14ac:dyDescent="0.35">
      <c r="A52" s="137" t="str">
        <f>IF(D52="","",Cover!$D$8)</f>
        <v/>
      </c>
      <c r="B52" s="137" t="str">
        <f>IF(D52="","",Cover!$D$7)</f>
        <v/>
      </c>
      <c r="C52" s="138" t="str">
        <f>IF(F52="","",IFERROR(VLOOKUP(F52,'Master Data'!$E$59:$J$144,6,FALSE),0))</f>
        <v/>
      </c>
      <c r="D52" s="139" t="str">
        <f>IF(F52="","",IFERROR(VLOOKUP(F52,'Master Data'!$E$59:$L$147,8,FALSE),0))</f>
        <v/>
      </c>
      <c r="E52" s="138" t="str">
        <f>IF(D52="","",IFERROR(VLOOKUP(D52,'Master Data'!$D$59:$I$147,6,FALSE),0))</f>
        <v/>
      </c>
      <c r="F52" s="140"/>
      <c r="G52" s="141"/>
      <c r="H52" s="142">
        <f>IFERROR(VLOOKUP(G52,'Master Data'!$C$336:$I$353,7,FALSE),0)</f>
        <v>0</v>
      </c>
      <c r="I52" s="143">
        <f>IFERROR(VLOOKUP(H52,'Master Data'!$B$336:$D$351,3,FALSE),0)</f>
        <v>0</v>
      </c>
      <c r="J52" s="144">
        <f>IFERROR(VLOOKUP(H52,'Master Data'!$B$336:$H$353,7,FALSE),0)</f>
        <v>0</v>
      </c>
      <c r="K52" s="145"/>
      <c r="L52" s="146" t="str">
        <f>IFERROR(IF(I52="FIXED ASSET",J52&amp;E52&amp;K52,VLOOKUP(F52,'Master Data'!$E$59:$H$144,4,FALSE)&amp;"-"&amp;J52&amp;"-"&amp;K52),"-")</f>
        <v>-</v>
      </c>
      <c r="M52" s="158"/>
      <c r="N52" s="159"/>
      <c r="O52" s="157"/>
      <c r="P52" s="157"/>
      <c r="Q52" s="157"/>
      <c r="R52" s="157"/>
      <c r="S52" s="157"/>
      <c r="T52" s="157"/>
      <c r="U52" s="157"/>
      <c r="V52" s="157"/>
      <c r="W52" s="157"/>
      <c r="X52" s="157"/>
      <c r="Y52" s="157"/>
      <c r="Z52" s="157"/>
      <c r="AA52" s="149">
        <f t="shared" si="10"/>
        <v>0</v>
      </c>
      <c r="AC52" s="157"/>
      <c r="AD52" s="157"/>
      <c r="AE52" s="157"/>
      <c r="AF52" s="157"/>
      <c r="AG52" s="157"/>
      <c r="AH52" s="157"/>
      <c r="AI52" s="157"/>
      <c r="AJ52" s="157"/>
      <c r="AK52" s="157"/>
      <c r="AL52" s="157"/>
      <c r="AM52" s="157"/>
      <c r="AN52" s="157"/>
      <c r="AO52" s="149">
        <f t="shared" si="3"/>
        <v>0</v>
      </c>
      <c r="AQ52" s="157"/>
      <c r="AR52" s="157"/>
      <c r="AS52" s="157"/>
      <c r="AT52" s="157"/>
      <c r="AU52" s="157"/>
      <c r="AV52" s="157"/>
      <c r="AW52" s="157"/>
      <c r="AX52" s="157"/>
      <c r="AY52" s="157"/>
      <c r="AZ52" s="157"/>
      <c r="BA52" s="157"/>
      <c r="BB52" s="157"/>
      <c r="BC52" s="149">
        <f t="shared" si="4"/>
        <v>0</v>
      </c>
      <c r="BD52" s="151">
        <f t="shared" si="5"/>
        <v>0</v>
      </c>
      <c r="BE52" s="141"/>
      <c r="BF52" s="152"/>
      <c r="BG52" s="152"/>
      <c r="BH52" s="152"/>
      <c r="BI52" s="153">
        <f t="shared" si="6"/>
        <v>0</v>
      </c>
      <c r="BJ52" s="152"/>
      <c r="BK52" s="154" t="str">
        <f t="shared" si="9"/>
        <v/>
      </c>
      <c r="BL52" s="154" t="str">
        <f t="shared" si="7"/>
        <v/>
      </c>
      <c r="BM52" s="154" t="str">
        <f t="shared" si="8"/>
        <v/>
      </c>
      <c r="BN52" s="155"/>
    </row>
    <row r="53" spans="1:66" ht="15" customHeight="1" x14ac:dyDescent="0.35">
      <c r="A53" s="137" t="str">
        <f>IF(D53="","",Cover!$D$8)</f>
        <v/>
      </c>
      <c r="B53" s="137" t="str">
        <f>IF(D53="","",Cover!$D$7)</f>
        <v/>
      </c>
      <c r="C53" s="138" t="str">
        <f>IF(F53="","",IFERROR(VLOOKUP(F53,'Master Data'!$E$59:$J$144,6,FALSE),0))</f>
        <v/>
      </c>
      <c r="D53" s="139" t="str">
        <f>IF(F53="","",IFERROR(VLOOKUP(F53,'Master Data'!$E$59:$L$147,8,FALSE),0))</f>
        <v/>
      </c>
      <c r="E53" s="138" t="str">
        <f>IF(D53="","",IFERROR(VLOOKUP(D53,'Master Data'!$D$59:$I$147,6,FALSE),0))</f>
        <v/>
      </c>
      <c r="F53" s="140"/>
      <c r="G53" s="141"/>
      <c r="H53" s="142">
        <f>IFERROR(VLOOKUP(G53,'Master Data'!$C$336:$I$353,7,FALSE),0)</f>
        <v>0</v>
      </c>
      <c r="I53" s="143">
        <f>IFERROR(VLOOKUP(H53,'Master Data'!$B$336:$D$351,3,FALSE),0)</f>
        <v>0</v>
      </c>
      <c r="J53" s="144">
        <f>IFERROR(VLOOKUP(H53,'Master Data'!$B$336:$H$353,7,FALSE),0)</f>
        <v>0</v>
      </c>
      <c r="K53" s="145"/>
      <c r="L53" s="146" t="str">
        <f>IFERROR(IF(I53="FIXED ASSET",J53&amp;E53&amp;K53,VLOOKUP(F53,'Master Data'!$E$59:$H$144,4,FALSE)&amp;"-"&amp;J53&amp;"-"&amp;K53),"-")</f>
        <v>-</v>
      </c>
      <c r="M53" s="158"/>
      <c r="N53" s="159"/>
      <c r="O53" s="157"/>
      <c r="P53" s="157"/>
      <c r="Q53" s="157"/>
      <c r="R53" s="157"/>
      <c r="S53" s="157"/>
      <c r="T53" s="157"/>
      <c r="U53" s="157"/>
      <c r="V53" s="157"/>
      <c r="W53" s="157"/>
      <c r="X53" s="157"/>
      <c r="Y53" s="157"/>
      <c r="Z53" s="157"/>
      <c r="AA53" s="149">
        <f t="shared" si="10"/>
        <v>0</v>
      </c>
      <c r="AC53" s="157"/>
      <c r="AD53" s="157"/>
      <c r="AE53" s="157"/>
      <c r="AF53" s="157"/>
      <c r="AG53" s="157"/>
      <c r="AH53" s="157"/>
      <c r="AI53" s="157"/>
      <c r="AJ53" s="157"/>
      <c r="AK53" s="157"/>
      <c r="AL53" s="157"/>
      <c r="AM53" s="157"/>
      <c r="AN53" s="157"/>
      <c r="AO53" s="149">
        <f t="shared" si="3"/>
        <v>0</v>
      </c>
      <c r="AQ53" s="157"/>
      <c r="AR53" s="157"/>
      <c r="AS53" s="157"/>
      <c r="AT53" s="157"/>
      <c r="AU53" s="157"/>
      <c r="AV53" s="157"/>
      <c r="AW53" s="157"/>
      <c r="AX53" s="157"/>
      <c r="AY53" s="157"/>
      <c r="AZ53" s="157"/>
      <c r="BA53" s="157"/>
      <c r="BB53" s="157"/>
      <c r="BC53" s="149">
        <f t="shared" si="4"/>
        <v>0</v>
      </c>
      <c r="BD53" s="151">
        <f t="shared" si="5"/>
        <v>0</v>
      </c>
      <c r="BE53" s="141"/>
      <c r="BF53" s="152"/>
      <c r="BG53" s="152"/>
      <c r="BH53" s="152"/>
      <c r="BI53" s="153">
        <f t="shared" si="6"/>
        <v>0</v>
      </c>
      <c r="BJ53" s="152"/>
      <c r="BK53" s="154" t="str">
        <f t="shared" si="9"/>
        <v/>
      </c>
      <c r="BL53" s="154" t="str">
        <f t="shared" si="7"/>
        <v/>
      </c>
      <c r="BM53" s="154" t="str">
        <f t="shared" si="8"/>
        <v/>
      </c>
      <c r="BN53" s="155"/>
    </row>
    <row r="54" spans="1:66" ht="15" customHeight="1" x14ac:dyDescent="0.35">
      <c r="A54" s="137" t="str">
        <f>IF(D54="","",Cover!$D$8)</f>
        <v/>
      </c>
      <c r="B54" s="137" t="str">
        <f>IF(D54="","",Cover!$D$7)</f>
        <v/>
      </c>
      <c r="C54" s="138" t="str">
        <f>IF(F54="","",IFERROR(VLOOKUP(F54,'Master Data'!$E$59:$J$144,6,FALSE),0))</f>
        <v/>
      </c>
      <c r="D54" s="139" t="str">
        <f>IF(F54="","",IFERROR(VLOOKUP(F54,'Master Data'!$E$59:$L$147,8,FALSE),0))</f>
        <v/>
      </c>
      <c r="E54" s="138" t="str">
        <f>IF(D54="","",IFERROR(VLOOKUP(D54,'Master Data'!$D$59:$I$147,6,FALSE),0))</f>
        <v/>
      </c>
      <c r="F54" s="140"/>
      <c r="G54" s="141"/>
      <c r="H54" s="142">
        <f>IFERROR(VLOOKUP(G54,'Master Data'!$C$336:$I$353,7,FALSE),0)</f>
        <v>0</v>
      </c>
      <c r="I54" s="143">
        <f>IFERROR(VLOOKUP(H54,'Master Data'!$B$336:$D$351,3,FALSE),0)</f>
        <v>0</v>
      </c>
      <c r="J54" s="144">
        <f>IFERROR(VLOOKUP(H54,'Master Data'!$B$336:$H$353,7,FALSE),0)</f>
        <v>0</v>
      </c>
      <c r="K54" s="145"/>
      <c r="L54" s="146" t="str">
        <f>IFERROR(IF(I54="FIXED ASSET",J54&amp;E54&amp;K54,VLOOKUP(F54,'Master Data'!$E$59:$H$144,4,FALSE)&amp;"-"&amp;J54&amp;"-"&amp;K54),"-")</f>
        <v>-</v>
      </c>
      <c r="M54" s="158"/>
      <c r="N54" s="159"/>
      <c r="O54" s="157"/>
      <c r="P54" s="157"/>
      <c r="Q54" s="157"/>
      <c r="R54" s="157"/>
      <c r="S54" s="157"/>
      <c r="T54" s="157"/>
      <c r="U54" s="157"/>
      <c r="V54" s="157"/>
      <c r="W54" s="157"/>
      <c r="X54" s="157"/>
      <c r="Y54" s="157"/>
      <c r="Z54" s="157"/>
      <c r="AA54" s="149">
        <f t="shared" si="10"/>
        <v>0</v>
      </c>
      <c r="AC54" s="157"/>
      <c r="AD54" s="157"/>
      <c r="AE54" s="157"/>
      <c r="AF54" s="157"/>
      <c r="AG54" s="157"/>
      <c r="AH54" s="157"/>
      <c r="AI54" s="157"/>
      <c r="AJ54" s="157"/>
      <c r="AK54" s="157"/>
      <c r="AL54" s="157"/>
      <c r="AM54" s="157"/>
      <c r="AN54" s="157"/>
      <c r="AO54" s="149">
        <f t="shared" si="3"/>
        <v>0</v>
      </c>
      <c r="AQ54" s="157"/>
      <c r="AR54" s="157"/>
      <c r="AS54" s="157"/>
      <c r="AT54" s="157"/>
      <c r="AU54" s="157"/>
      <c r="AV54" s="157"/>
      <c r="AW54" s="157"/>
      <c r="AX54" s="157"/>
      <c r="AY54" s="157"/>
      <c r="AZ54" s="157"/>
      <c r="BA54" s="157"/>
      <c r="BB54" s="157"/>
      <c r="BC54" s="149">
        <f t="shared" si="4"/>
        <v>0</v>
      </c>
      <c r="BD54" s="151">
        <f t="shared" si="5"/>
        <v>0</v>
      </c>
      <c r="BE54" s="141"/>
      <c r="BF54" s="152"/>
      <c r="BG54" s="152"/>
      <c r="BH54" s="152"/>
      <c r="BI54" s="153">
        <f t="shared" si="6"/>
        <v>0</v>
      </c>
      <c r="BJ54" s="152"/>
      <c r="BK54" s="154" t="str">
        <f t="shared" si="9"/>
        <v/>
      </c>
      <c r="BL54" s="154" t="str">
        <f t="shared" si="7"/>
        <v/>
      </c>
      <c r="BM54" s="154" t="str">
        <f t="shared" si="8"/>
        <v/>
      </c>
      <c r="BN54" s="155"/>
    </row>
    <row r="55" spans="1:66" ht="15" customHeight="1" x14ac:dyDescent="0.35">
      <c r="A55" s="137" t="str">
        <f>IF(D55="","",Cover!$D$8)</f>
        <v/>
      </c>
      <c r="B55" s="137" t="str">
        <f>IF(D55="","",Cover!$D$7)</f>
        <v/>
      </c>
      <c r="C55" s="138" t="str">
        <f>IF(F55="","",IFERROR(VLOOKUP(F55,'Master Data'!$E$59:$J$144,6,FALSE),0))</f>
        <v/>
      </c>
      <c r="D55" s="139" t="str">
        <f>IF(F55="","",IFERROR(VLOOKUP(F55,'Master Data'!$E$59:$L$147,8,FALSE),0))</f>
        <v/>
      </c>
      <c r="E55" s="138" t="str">
        <f>IF(D55="","",IFERROR(VLOOKUP(D55,'Master Data'!$D$59:$I$147,6,FALSE),0))</f>
        <v/>
      </c>
      <c r="F55" s="140"/>
      <c r="G55" s="141"/>
      <c r="H55" s="142">
        <f>IFERROR(VLOOKUP(G55,'Master Data'!$C$336:$I$353,7,FALSE),0)</f>
        <v>0</v>
      </c>
      <c r="I55" s="143">
        <f>IFERROR(VLOOKUP(H55,'Master Data'!$B$336:$D$351,3,FALSE),0)</f>
        <v>0</v>
      </c>
      <c r="J55" s="144">
        <f>IFERROR(VLOOKUP(H55,'Master Data'!$B$336:$H$353,7,FALSE),0)</f>
        <v>0</v>
      </c>
      <c r="K55" s="145"/>
      <c r="L55" s="146" t="str">
        <f>IFERROR(IF(I55="FIXED ASSET",J55&amp;E55&amp;K55,VLOOKUP(F55,'Master Data'!$E$59:$H$144,4,FALSE)&amp;"-"&amp;J55&amp;"-"&amp;K55),"-")</f>
        <v>-</v>
      </c>
      <c r="M55" s="158"/>
      <c r="N55" s="159"/>
      <c r="O55" s="157"/>
      <c r="P55" s="157"/>
      <c r="Q55" s="157"/>
      <c r="R55" s="157"/>
      <c r="S55" s="157"/>
      <c r="T55" s="157"/>
      <c r="U55" s="157"/>
      <c r="V55" s="157"/>
      <c r="W55" s="157"/>
      <c r="X55" s="157"/>
      <c r="Y55" s="157"/>
      <c r="Z55" s="157"/>
      <c r="AA55" s="149">
        <f t="shared" si="10"/>
        <v>0</v>
      </c>
      <c r="AC55" s="157"/>
      <c r="AD55" s="157"/>
      <c r="AE55" s="157"/>
      <c r="AF55" s="157"/>
      <c r="AG55" s="157"/>
      <c r="AH55" s="157"/>
      <c r="AI55" s="157"/>
      <c r="AJ55" s="157"/>
      <c r="AK55" s="157"/>
      <c r="AL55" s="157"/>
      <c r="AM55" s="157"/>
      <c r="AN55" s="157"/>
      <c r="AO55" s="149">
        <f t="shared" si="3"/>
        <v>0</v>
      </c>
      <c r="AQ55" s="157"/>
      <c r="AR55" s="157"/>
      <c r="AS55" s="157"/>
      <c r="AT55" s="157"/>
      <c r="AU55" s="157"/>
      <c r="AV55" s="157"/>
      <c r="AW55" s="157"/>
      <c r="AX55" s="157"/>
      <c r="AY55" s="157"/>
      <c r="AZ55" s="157"/>
      <c r="BA55" s="157"/>
      <c r="BB55" s="157"/>
      <c r="BC55" s="149">
        <f t="shared" si="4"/>
        <v>0</v>
      </c>
      <c r="BD55" s="151">
        <f t="shared" si="5"/>
        <v>0</v>
      </c>
      <c r="BE55" s="141"/>
      <c r="BF55" s="152"/>
      <c r="BG55" s="152"/>
      <c r="BH55" s="152"/>
      <c r="BI55" s="153">
        <f t="shared" si="6"/>
        <v>0</v>
      </c>
      <c r="BJ55" s="152"/>
      <c r="BK55" s="154" t="str">
        <f t="shared" si="9"/>
        <v/>
      </c>
      <c r="BL55" s="154" t="str">
        <f t="shared" si="7"/>
        <v/>
      </c>
      <c r="BM55" s="154" t="str">
        <f t="shared" si="8"/>
        <v/>
      </c>
      <c r="BN55" s="155"/>
    </row>
    <row r="56" spans="1:66" ht="15" customHeight="1" x14ac:dyDescent="0.35">
      <c r="A56" s="137" t="str">
        <f>IF(D56="","",Cover!$D$8)</f>
        <v/>
      </c>
      <c r="B56" s="137" t="str">
        <f>IF(D56="","",Cover!$D$7)</f>
        <v/>
      </c>
      <c r="C56" s="138" t="str">
        <f>IF(F56="","",IFERROR(VLOOKUP(F56,'Master Data'!$E$59:$J$144,6,FALSE),0))</f>
        <v/>
      </c>
      <c r="D56" s="139" t="str">
        <f>IF(F56="","",IFERROR(VLOOKUP(F56,'Master Data'!$E$59:$L$147,8,FALSE),0))</f>
        <v/>
      </c>
      <c r="E56" s="138" t="str">
        <f>IF(D56="","",IFERROR(VLOOKUP(D56,'Master Data'!$D$59:$I$147,6,FALSE),0))</f>
        <v/>
      </c>
      <c r="F56" s="140"/>
      <c r="G56" s="141"/>
      <c r="H56" s="142">
        <f>IFERROR(VLOOKUP(G56,'Master Data'!$C$336:$I$353,7,FALSE),0)</f>
        <v>0</v>
      </c>
      <c r="I56" s="143">
        <f>IFERROR(VLOOKUP(H56,'Master Data'!$B$336:$D$351,3,FALSE),0)</f>
        <v>0</v>
      </c>
      <c r="J56" s="144">
        <f>IFERROR(VLOOKUP(H56,'Master Data'!$B$336:$H$353,7,FALSE),0)</f>
        <v>0</v>
      </c>
      <c r="K56" s="145"/>
      <c r="L56" s="146" t="str">
        <f>IFERROR(IF(I56="FIXED ASSET",J56&amp;E56&amp;K56,VLOOKUP(F56,'Master Data'!$E$59:$H$144,4,FALSE)&amp;"-"&amp;J56&amp;"-"&amp;K56),"-")</f>
        <v>-</v>
      </c>
      <c r="M56" s="158"/>
      <c r="N56" s="159"/>
      <c r="O56" s="157"/>
      <c r="P56" s="157"/>
      <c r="Q56" s="157"/>
      <c r="R56" s="157"/>
      <c r="S56" s="157"/>
      <c r="T56" s="157"/>
      <c r="U56" s="157"/>
      <c r="V56" s="157"/>
      <c r="W56" s="157"/>
      <c r="X56" s="157"/>
      <c r="Y56" s="157"/>
      <c r="Z56" s="157"/>
      <c r="AA56" s="149">
        <f t="shared" si="10"/>
        <v>0</v>
      </c>
      <c r="AC56" s="157"/>
      <c r="AD56" s="157"/>
      <c r="AE56" s="157"/>
      <c r="AF56" s="157"/>
      <c r="AG56" s="157"/>
      <c r="AH56" s="157"/>
      <c r="AI56" s="157"/>
      <c r="AJ56" s="157"/>
      <c r="AK56" s="157"/>
      <c r="AL56" s="157"/>
      <c r="AM56" s="157"/>
      <c r="AN56" s="157"/>
      <c r="AO56" s="149">
        <f t="shared" si="3"/>
        <v>0</v>
      </c>
      <c r="AQ56" s="157"/>
      <c r="AR56" s="157"/>
      <c r="AS56" s="157"/>
      <c r="AT56" s="157"/>
      <c r="AU56" s="157"/>
      <c r="AV56" s="157"/>
      <c r="AW56" s="157"/>
      <c r="AX56" s="157"/>
      <c r="AY56" s="157"/>
      <c r="AZ56" s="157"/>
      <c r="BA56" s="157"/>
      <c r="BB56" s="157"/>
      <c r="BC56" s="149">
        <f t="shared" si="4"/>
        <v>0</v>
      </c>
      <c r="BD56" s="151">
        <f t="shared" si="5"/>
        <v>0</v>
      </c>
      <c r="BE56" s="141"/>
      <c r="BF56" s="152"/>
      <c r="BG56" s="152"/>
      <c r="BH56" s="152"/>
      <c r="BI56" s="153">
        <f t="shared" si="6"/>
        <v>0</v>
      </c>
      <c r="BJ56" s="152"/>
      <c r="BK56" s="154" t="str">
        <f t="shared" si="9"/>
        <v/>
      </c>
      <c r="BL56" s="154" t="str">
        <f t="shared" si="7"/>
        <v/>
      </c>
      <c r="BM56" s="154" t="str">
        <f t="shared" si="8"/>
        <v/>
      </c>
      <c r="BN56" s="155"/>
    </row>
  </sheetData>
  <sheetProtection formatColumns="0" formatRows="0" autoFilter="0"/>
  <autoFilter ref="A3:BM25" xr:uid="{00000000-0009-0000-0000-000003000000}"/>
  <dataConsolidate/>
  <mergeCells count="1">
    <mergeCell ref="D3:E3"/>
  </mergeCells>
  <conditionalFormatting sqref="BK4:BK56">
    <cfRule type="containsText" dxfId="7" priority="6" operator="containsText" text="Please Fill Start Date">
      <formula>NOT(ISERROR(SEARCH("Please Fill Start Date",BK4)))</formula>
    </cfRule>
  </conditionalFormatting>
  <conditionalFormatting sqref="BL4:BL56">
    <cfRule type="containsText" dxfId="6" priority="5" operator="containsText" text="Please Fill Start Date">
      <formula>NOT(ISERROR(SEARCH("Please Fill Start Date",BL4)))</formula>
    </cfRule>
  </conditionalFormatting>
  <conditionalFormatting sqref="BM4:BM56">
    <cfRule type="containsText" dxfId="5" priority="3" operator="containsText" text="Please Fill Remarks">
      <formula>NOT(ISERROR(SEARCH("Please Fill Remarks",BM4)))</formula>
    </cfRule>
    <cfRule type="containsText" dxfId="4" priority="4" operator="containsText" text="Please Fill Start Date">
      <formula>NOT(ISERROR(SEARCH("Please Fill Start Date",BM4)))</formula>
    </cfRule>
  </conditionalFormatting>
  <conditionalFormatting sqref="K4:K56">
    <cfRule type="containsText" dxfId="3"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56" xr:uid="{D9601B00-C2AC-4715-B511-30FF4AA18573}"/>
    <dataValidation type="custom" showInputMessage="1" showErrorMessage="1" error="Pastikan Ledger Number dan Cost Center sudah terisi" sqref="O4:Z56 AQ4:BB56 AC4:AN56"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56" xr:uid="{D1BE2FD6-2D31-4865-991F-0FA826319A62}"/>
  </dataValidations>
  <pageMargins left="0.27" right="0.28000000000000003" top="0.44" bottom="0.75" header="0" footer="0"/>
  <pageSetup paperSize="9" scale="85" orientation="landscape" r:id="rId1"/>
  <ignoredErrors>
    <ignoredError sqref="BK4 BL4:BM4 BK5:BL56 BM5:BM56"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promptTitle="Please Fill Priority" prompt="These field should be filled from listed priority options_x000a_- High_x000a_- Medium_x000a_- Low" xr:uid="{0E6AED9B-D149-4FA5-BC9B-496B83738AE8}">
          <x14:formula1>
            <xm:f>'Master Data'!$B$357:$B$359</xm:f>
          </x14:formula1>
          <xm:sqref>BE4:BE56</xm:sqref>
        </x14:dataValidation>
        <x14:dataValidation type="list" allowBlank="1" showInputMessage="1" showErrorMessage="1" xr:uid="{28E4AB1D-3578-4A02-A7A6-F9204B6B2EC6}">
          <x14:formula1>
            <xm:f>'Master Data'!$B$372:$B$373</xm:f>
          </x14:formula1>
          <xm:sqref>BG4:BG56</xm:sqref>
        </x14:dataValidation>
        <x14:dataValidation type="list" allowBlank="1" showInputMessage="1" showErrorMessage="1" xr:uid="{DEAB4163-5693-438C-AC32-F3A078215A2B}">
          <x14:formula1>
            <xm:f>'Master Data'!$B$365:$B$368</xm:f>
          </x14:formula1>
          <xm:sqref>BJ4:BJ56</xm:sqref>
        </x14:dataValidation>
        <x14:dataValidation type="list" allowBlank="1" showInputMessage="1" showErrorMessage="1" xr:uid="{4A9E9437-C09A-4256-929F-D3640E873B4A}">
          <x14:formula1>
            <xm:f>'Master Data'!$P$105:$P$112</xm:f>
          </x14:formula1>
          <xm:sqref>F4:F56</xm:sqref>
        </x14:dataValidation>
        <x14:dataValidation type="list" allowBlank="1" showInputMessage="1" showErrorMessage="1" xr:uid="{1755A3B1-C083-4049-9F2D-74A2DF5BFBCD}">
          <x14:formula1>
            <xm:f>'Master Data'!$C$336:$C$351</xm:f>
          </x14:formula1>
          <xm:sqref>G4:G56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51"/>
  <sheetViews>
    <sheetView showGridLines="0" zoomScale="80" zoomScaleNormal="80" workbookViewId="0">
      <pane xSplit="5" ySplit="3" topLeftCell="F38" activePane="bottomRight" state="frozen"/>
      <selection activeCell="E60" sqref="E60"/>
      <selection pane="topRight" activeCell="E60" sqref="E60"/>
      <selection pane="bottomLeft" activeCell="E60" sqref="E60"/>
      <selection pane="bottomRight" activeCell="E41" sqref="E41"/>
    </sheetView>
  </sheetViews>
  <sheetFormatPr defaultColWidth="9.1796875" defaultRowHeight="14.5" outlineLevelCol="1" x14ac:dyDescent="0.35"/>
  <cols>
    <col min="1" max="1" width="17.26953125" style="85" customWidth="1"/>
    <col min="2" max="2" width="17.1796875" style="85" customWidth="1"/>
    <col min="3" max="3" width="16.453125" style="85" customWidth="1"/>
    <col min="4" max="4" width="36.7265625" style="124" customWidth="1"/>
    <col min="5" max="5" width="40.54296875" style="85" customWidth="1"/>
    <col min="6" max="6" width="15.26953125" style="85" customWidth="1" outlineLevel="1"/>
    <col min="7" max="7" width="27.1796875" style="85" customWidth="1" outlineLevel="1"/>
    <col min="8" max="8" width="20.1796875" style="85" customWidth="1" outlineLevel="1"/>
    <col min="9" max="9" width="39.54296875" style="85" customWidth="1" outlineLevel="1"/>
    <col min="10" max="11" width="17.7265625" style="85" customWidth="1"/>
    <col min="12" max="23" width="13.54296875" style="85" bestFit="1" customWidth="1" outlineLevel="1"/>
    <col min="24" max="24" width="13.1796875" style="85" bestFit="1" customWidth="1"/>
    <col min="25" max="25" width="2.54296875" style="85" customWidth="1"/>
    <col min="26" max="26" width="13.54296875" style="85" bestFit="1" customWidth="1" outlineLevel="1"/>
    <col min="27" max="27" width="13.54296875" style="215" bestFit="1" customWidth="1" outlineLevel="1"/>
    <col min="28" max="28" width="13.54296875" style="85" bestFit="1" customWidth="1" outlineLevel="1"/>
    <col min="29" max="29" width="13.54296875" style="85" bestFit="1" customWidth="1" outlineLevel="1" collapsed="1"/>
    <col min="30" max="30" width="13.54296875" style="182" bestFit="1" customWidth="1" outlineLevel="1" collapsed="1"/>
    <col min="31" max="31" width="13.54296875" style="183" bestFit="1" customWidth="1" outlineLevel="1"/>
    <col min="32" max="34" width="13.54296875" style="85" bestFit="1" customWidth="1" outlineLevel="1"/>
    <col min="35" max="36" width="13.54296875" style="183" bestFit="1" customWidth="1" outlineLevel="1"/>
    <col min="37" max="37" width="13.54296875" style="85" bestFit="1" customWidth="1" outlineLevel="1"/>
    <col min="38" max="38" width="11.26953125" style="85" bestFit="1" customWidth="1"/>
    <col min="39" max="39" width="3.453125" style="183" customWidth="1"/>
    <col min="40" max="40" width="13.54296875" style="85" bestFit="1" customWidth="1" outlineLevel="1"/>
    <col min="41" max="44" width="13.54296875" style="184" bestFit="1" customWidth="1" outlineLevel="1"/>
    <col min="45" max="45" width="14.1796875" style="184" customWidth="1" outlineLevel="1"/>
    <col min="46" max="46" width="7.81640625" style="184" bestFit="1" customWidth="1" outlineLevel="1"/>
    <col min="47" max="51" width="12.7265625" style="184" customWidth="1" outlineLevel="1"/>
    <col min="52" max="52" width="5.54296875" style="184" bestFit="1" customWidth="1" outlineLevel="1"/>
    <col min="53" max="54" width="18" style="184" bestFit="1" customWidth="1"/>
    <col min="55" max="55" width="9.1796875" style="184"/>
    <col min="56" max="56" width="13" style="184" customWidth="1"/>
    <col min="57" max="58" width="9.1796875" style="184"/>
    <col min="59" max="59" width="11.36328125" style="184" customWidth="1"/>
    <col min="60" max="60" width="14.26953125" style="184" customWidth="1"/>
    <col min="61" max="61" width="13.1796875" style="184" customWidth="1"/>
    <col min="62" max="62" width="13" style="184" customWidth="1"/>
    <col min="63" max="63" width="12.1796875" style="184" customWidth="1"/>
    <col min="64" max="67" width="9.1796875" style="184"/>
    <col min="68" max="68" width="22.453125" style="184" customWidth="1"/>
    <col min="69" max="69" width="9.1796875" style="184"/>
    <col min="70" max="70" width="28.1796875" style="184" bestFit="1" customWidth="1"/>
    <col min="71" max="71" width="23.81640625" style="184" bestFit="1" customWidth="1"/>
    <col min="72" max="72" width="30.7265625" style="184" bestFit="1" customWidth="1"/>
    <col min="73" max="16384" width="9.1796875" style="184"/>
  </cols>
  <sheetData>
    <row r="1" spans="1:72" x14ac:dyDescent="0.35">
      <c r="Y1" s="130"/>
      <c r="Z1" s="131"/>
      <c r="AA1" s="131"/>
      <c r="AB1" s="129"/>
      <c r="AC1" s="129"/>
      <c r="AD1" s="129"/>
      <c r="AE1" s="129"/>
      <c r="AF1" s="129"/>
      <c r="AG1" s="129"/>
      <c r="AH1" s="129"/>
      <c r="AI1" s="129"/>
      <c r="AJ1" s="129"/>
      <c r="AK1" s="129"/>
      <c r="AL1" s="129"/>
      <c r="AM1" s="132"/>
      <c r="AN1" s="131"/>
      <c r="AO1" s="131"/>
      <c r="AP1" s="129"/>
      <c r="AQ1" s="129"/>
      <c r="AR1" s="129"/>
      <c r="AS1" s="129"/>
      <c r="AT1" s="129"/>
      <c r="AU1" s="129"/>
      <c r="AV1" s="129"/>
      <c r="AW1" s="129"/>
      <c r="AX1" s="129"/>
      <c r="AY1" s="129"/>
      <c r="AZ1" s="129"/>
      <c r="BA1" s="85"/>
      <c r="BB1" s="85"/>
      <c r="BC1" s="85"/>
      <c r="BD1" s="85"/>
      <c r="BE1" s="85"/>
      <c r="BF1" s="182"/>
      <c r="BG1" s="183"/>
      <c r="BH1" s="85"/>
      <c r="BI1" s="85"/>
      <c r="BL1" s="183"/>
      <c r="BM1" s="97"/>
      <c r="BN1" s="85"/>
      <c r="BO1" s="183"/>
      <c r="BP1" s="85"/>
    </row>
    <row r="2" spans="1:72" s="271" customFormat="1" ht="20.25" customHeight="1" x14ac:dyDescent="0.35">
      <c r="A2" s="262"/>
      <c r="B2" s="262"/>
      <c r="C2" s="262"/>
      <c r="D2" s="263"/>
      <c r="E2" s="262"/>
      <c r="F2" s="262"/>
      <c r="G2" s="262"/>
      <c r="H2" s="262"/>
      <c r="I2" s="262"/>
      <c r="J2" s="262"/>
      <c r="K2" s="262"/>
      <c r="L2" s="264" t="s">
        <v>612</v>
      </c>
      <c r="M2" s="265"/>
      <c r="N2" s="265"/>
      <c r="O2" s="265"/>
      <c r="P2" s="264"/>
      <c r="Q2" s="265"/>
      <c r="R2" s="265"/>
      <c r="S2" s="265"/>
      <c r="T2" s="265"/>
      <c r="U2" s="265"/>
      <c r="V2" s="265"/>
      <c r="W2" s="265"/>
      <c r="X2" s="265"/>
      <c r="Y2" s="266"/>
      <c r="Z2" s="264" t="s">
        <v>613</v>
      </c>
      <c r="AA2" s="265"/>
      <c r="AB2" s="265"/>
      <c r="AC2" s="265"/>
      <c r="AD2" s="264"/>
      <c r="AE2" s="265"/>
      <c r="AF2" s="265"/>
      <c r="AG2" s="265"/>
      <c r="AH2" s="265"/>
      <c r="AI2" s="265"/>
      <c r="AJ2" s="265"/>
      <c r="AK2" s="265"/>
      <c r="AL2" s="265"/>
      <c r="AM2" s="266"/>
      <c r="AN2" s="264" t="s">
        <v>1264</v>
      </c>
      <c r="AO2" s="265"/>
      <c r="AP2" s="265"/>
      <c r="AQ2" s="265"/>
      <c r="AR2" s="264"/>
      <c r="AS2" s="265"/>
      <c r="AT2" s="265"/>
      <c r="AU2" s="265"/>
      <c r="AV2" s="265"/>
      <c r="AW2" s="265"/>
      <c r="AX2" s="265"/>
      <c r="AY2" s="265"/>
      <c r="AZ2" s="265"/>
      <c r="BA2" s="262"/>
      <c r="BB2" s="262"/>
      <c r="BC2" s="219"/>
      <c r="BD2" s="219"/>
      <c r="BE2" s="219"/>
      <c r="BF2" s="267"/>
      <c r="BG2" s="268"/>
      <c r="BH2" s="219"/>
      <c r="BI2" s="219"/>
      <c r="BJ2" s="317" t="s">
        <v>731</v>
      </c>
      <c r="BK2" s="269">
        <v>16500</v>
      </c>
      <c r="BL2" s="268"/>
      <c r="BM2" s="270"/>
      <c r="BN2" s="219"/>
      <c r="BO2" s="268"/>
      <c r="BP2" s="219"/>
    </row>
    <row r="3" spans="1:72" s="187" customFormat="1" ht="54.75" customHeight="1" x14ac:dyDescent="0.35">
      <c r="A3" s="254" t="s">
        <v>127</v>
      </c>
      <c r="B3" s="254" t="s">
        <v>12</v>
      </c>
      <c r="C3" s="254" t="s">
        <v>262</v>
      </c>
      <c r="D3" s="255" t="s">
        <v>265</v>
      </c>
      <c r="E3" s="254" t="s">
        <v>266</v>
      </c>
      <c r="F3" s="254" t="s">
        <v>32</v>
      </c>
      <c r="G3" s="254" t="s">
        <v>225</v>
      </c>
      <c r="H3" s="254" t="s">
        <v>28</v>
      </c>
      <c r="I3" s="254" t="s">
        <v>228</v>
      </c>
      <c r="J3" s="256" t="s">
        <v>555</v>
      </c>
      <c r="K3" s="257" t="s">
        <v>556</v>
      </c>
      <c r="L3" s="254" t="s">
        <v>558</v>
      </c>
      <c r="M3" s="254" t="s">
        <v>559</v>
      </c>
      <c r="N3" s="254" t="s">
        <v>560</v>
      </c>
      <c r="O3" s="254" t="s">
        <v>561</v>
      </c>
      <c r="P3" s="254" t="s">
        <v>562</v>
      </c>
      <c r="Q3" s="254" t="s">
        <v>563</v>
      </c>
      <c r="R3" s="254" t="s">
        <v>621</v>
      </c>
      <c r="S3" s="254" t="s">
        <v>564</v>
      </c>
      <c r="T3" s="254" t="s">
        <v>565</v>
      </c>
      <c r="U3" s="254" t="s">
        <v>566</v>
      </c>
      <c r="V3" s="254" t="s">
        <v>567</v>
      </c>
      <c r="W3" s="254" t="s">
        <v>568</v>
      </c>
      <c r="X3" s="254" t="s">
        <v>557</v>
      </c>
      <c r="Y3" s="258"/>
      <c r="Z3" s="254" t="s">
        <v>558</v>
      </c>
      <c r="AA3" s="254" t="s">
        <v>559</v>
      </c>
      <c r="AB3" s="254" t="s">
        <v>560</v>
      </c>
      <c r="AC3" s="254" t="s">
        <v>561</v>
      </c>
      <c r="AD3" s="254" t="s">
        <v>562</v>
      </c>
      <c r="AE3" s="254" t="s">
        <v>563</v>
      </c>
      <c r="AF3" s="254" t="s">
        <v>621</v>
      </c>
      <c r="AG3" s="254" t="s">
        <v>564</v>
      </c>
      <c r="AH3" s="254" t="s">
        <v>565</v>
      </c>
      <c r="AI3" s="254" t="s">
        <v>566</v>
      </c>
      <c r="AJ3" s="254" t="s">
        <v>567</v>
      </c>
      <c r="AK3" s="254" t="s">
        <v>568</v>
      </c>
      <c r="AL3" s="254" t="s">
        <v>513</v>
      </c>
      <c r="AM3" s="259"/>
      <c r="AN3" s="254" t="s">
        <v>558</v>
      </c>
      <c r="AO3" s="254" t="s">
        <v>559</v>
      </c>
      <c r="AP3" s="254" t="s">
        <v>560</v>
      </c>
      <c r="AQ3" s="254" t="s">
        <v>561</v>
      </c>
      <c r="AR3" s="254" t="s">
        <v>562</v>
      </c>
      <c r="AS3" s="254" t="s">
        <v>563</v>
      </c>
      <c r="AT3" s="254" t="s">
        <v>621</v>
      </c>
      <c r="AU3" s="254" t="s">
        <v>564</v>
      </c>
      <c r="AV3" s="254" t="s">
        <v>565</v>
      </c>
      <c r="AW3" s="254" t="s">
        <v>566</v>
      </c>
      <c r="AX3" s="254" t="s">
        <v>567</v>
      </c>
      <c r="AY3" s="254" t="s">
        <v>568</v>
      </c>
      <c r="AZ3" s="254" t="s">
        <v>513</v>
      </c>
      <c r="BA3" s="254" t="s">
        <v>289</v>
      </c>
      <c r="BB3" s="254" t="s">
        <v>482</v>
      </c>
      <c r="BC3" s="185" t="s">
        <v>498</v>
      </c>
      <c r="BD3" s="179" t="s">
        <v>569</v>
      </c>
      <c r="BE3" s="179" t="s">
        <v>317</v>
      </c>
      <c r="BF3" s="179" t="s">
        <v>318</v>
      </c>
      <c r="BG3" s="178" t="s">
        <v>432</v>
      </c>
      <c r="BH3" s="179" t="s">
        <v>316</v>
      </c>
      <c r="BI3" s="179" t="s">
        <v>320</v>
      </c>
      <c r="BJ3" s="179" t="s">
        <v>444</v>
      </c>
      <c r="BK3" s="179" t="s">
        <v>622</v>
      </c>
      <c r="BL3" s="179" t="s">
        <v>623</v>
      </c>
      <c r="BM3" s="179" t="s">
        <v>570</v>
      </c>
      <c r="BN3" s="179" t="s">
        <v>571</v>
      </c>
      <c r="BO3" s="179" t="s">
        <v>624</v>
      </c>
      <c r="BP3" s="186" t="s">
        <v>732</v>
      </c>
      <c r="BQ3" s="260" t="s">
        <v>1253</v>
      </c>
      <c r="BR3" s="216" t="s">
        <v>1240</v>
      </c>
      <c r="BS3" s="216" t="s">
        <v>1241</v>
      </c>
      <c r="BT3" s="216" t="s">
        <v>294</v>
      </c>
    </row>
    <row r="4" spans="1:72" s="211" customFormat="1" ht="14.15" customHeight="1" x14ac:dyDescent="0.35">
      <c r="A4" s="188" t="str">
        <f>IF(D4="","",Cover!$D$8)</f>
        <v>PD Office</v>
      </c>
      <c r="B4" s="138" t="str">
        <f>IF(D4="","",IFERROR(VLOOKUP(G4,'Master Data'!$E$59:$J$144,6,FALSE),0))</f>
        <v>Board of Directors</v>
      </c>
      <c r="C4" s="353" t="str">
        <f>IF(D4="","",_xlfn.XLOOKUP(D4,'Activity Master Opex'!C:C,'Activity Master Opex'!B:B,0,0,1))</f>
        <v>BD001-00001</v>
      </c>
      <c r="D4" s="190" t="s">
        <v>449</v>
      </c>
      <c r="E4" s="189" t="str">
        <f>IF(D4="","",IFERROR(VLOOKUP(D4,'Activity Master Opex'!$C$4:$M$101,6,FALSE),0))</f>
        <v>Rental cars for VIP Guests</v>
      </c>
      <c r="F4" s="191" t="str">
        <f>IF($C4="","",VLOOKUP($C4,'Activity Master Opex'!$B:$I,3,0))</f>
        <v>10301BD001</v>
      </c>
      <c r="G4" s="189" t="str">
        <f>IF($C4="","",VLOOKUP($F4,'Master Data'!$D$59:$E$147,2,FALSE))</f>
        <v>BOARD OF DIRECTORS</v>
      </c>
      <c r="H4" s="192">
        <f>IF($C4="","",VLOOKUP($C4,'Activity Master Opex'!$B:$I,5,0))</f>
        <v>61700030</v>
      </c>
      <c r="I4" s="188" t="str">
        <f>IFERROR(VLOOKUP(H4,'Activity Master Opex'!$F:$G,2,FALSE),"")</f>
        <v>RE - Rental Vehicle</v>
      </c>
      <c r="J4" s="193">
        <f>13429.9483870968*15500</f>
        <v>208164200.00000039</v>
      </c>
      <c r="K4" s="193">
        <v>0</v>
      </c>
      <c r="L4" s="194"/>
      <c r="M4" s="194"/>
      <c r="N4" s="194"/>
      <c r="O4" s="194"/>
      <c r="P4" s="194"/>
      <c r="Q4" s="194"/>
      <c r="R4" s="194"/>
      <c r="S4" s="194"/>
      <c r="T4" s="194"/>
      <c r="U4" s="194"/>
      <c r="V4" s="194"/>
      <c r="W4" s="194"/>
      <c r="X4" s="195">
        <f>SUM(L4:W4)</f>
        <v>0</v>
      </c>
      <c r="Y4" s="196"/>
      <c r="Z4" s="148"/>
      <c r="AA4" s="148"/>
      <c r="AB4" s="148"/>
      <c r="AC4" s="148"/>
      <c r="AD4" s="148"/>
      <c r="AE4" s="148"/>
      <c r="AF4" s="148"/>
      <c r="AG4" s="148"/>
      <c r="AH4" s="148"/>
      <c r="AI4" s="148"/>
      <c r="AJ4" s="148"/>
      <c r="AK4" s="148"/>
      <c r="AL4" s="197">
        <f t="shared" ref="AL4:AL51" si="0">SUM(Z4:AK4)</f>
        <v>0</v>
      </c>
      <c r="AM4" s="198"/>
      <c r="AN4" s="148"/>
      <c r="AO4" s="148"/>
      <c r="AP4" s="148"/>
      <c r="AQ4" s="148"/>
      <c r="AR4" s="148"/>
      <c r="AS4" s="148"/>
      <c r="AT4" s="148"/>
      <c r="AU4" s="148"/>
      <c r="AV4" s="148"/>
      <c r="AW4" s="148"/>
      <c r="AX4" s="148"/>
      <c r="AY4" s="148"/>
      <c r="AZ4" s="197">
        <f t="shared" ref="AZ4:AZ51" si="1">SUM(AN4:AY4)</f>
        <v>0</v>
      </c>
      <c r="BA4" s="199">
        <f t="shared" ref="BA4:BA51" si="2">X4-J4</f>
        <v>-208164200.00000039</v>
      </c>
      <c r="BB4" s="200"/>
      <c r="BC4" s="201">
        <f t="shared" ref="BC4:BC51" si="3">X4-BO4</f>
        <v>0</v>
      </c>
      <c r="BD4" s="202" t="str">
        <f>IF('Budget Opex Detail'!C4="","",IF(COUNTIFS('Activity Master Opex'!$B$4:$B$172,'Budget Opex Detail'!$C4)&gt;0,"","New Activity"))</f>
        <v/>
      </c>
      <c r="BE4" s="203"/>
      <c r="BF4" s="204"/>
      <c r="BG4" s="205"/>
      <c r="BH4" s="206"/>
      <c r="BI4" s="207"/>
      <c r="BJ4" s="207"/>
      <c r="BK4" s="208"/>
      <c r="BL4" s="153">
        <f>IF(BJ4="USD",BK4*$BK$2,IF(BJ4="IDR",BK4,0))</f>
        <v>0</v>
      </c>
      <c r="BM4" s="206"/>
      <c r="BN4" s="206"/>
      <c r="BO4" s="209">
        <f t="shared" ref="BO4:BO51" si="4">BL4+BN4</f>
        <v>0</v>
      </c>
      <c r="BP4" s="210"/>
      <c r="BR4" s="212" t="str">
        <f>IF($H4="","",VLOOKUP($H4,'Master Data'!$B:$D,3,FALSE))</f>
        <v>Rental Expenses</v>
      </c>
      <c r="BS4" s="212" t="str">
        <f t="shared" ref="BS4:BS37" si="5">IF(C4="","",IF($A4&lt;&gt;"human resources",IF(LEFT(F4,6)="10301S","Selling","General Administrative"),IFERROR(IF(FIND("Selling",D4)&gt;0,"Selling","General Administrative"),"General Administrative")))</f>
        <v>General Administrative</v>
      </c>
      <c r="BT4" s="212" t="str">
        <f>IF($H4="","",VLOOKUP(VALUE($H4),'Master Data'!B:I,8,FALSE))</f>
        <v>Rental</v>
      </c>
    </row>
    <row r="5" spans="1:72" s="211" customFormat="1" x14ac:dyDescent="0.35">
      <c r="A5" s="188" t="str">
        <f>IF(D5="","",Cover!$D$8)</f>
        <v>PD Office</v>
      </c>
      <c r="B5" s="138" t="str">
        <f>IF(D5="","",IFERROR(VLOOKUP(G5,'Master Data'!$E$59:$J$144,6,FALSE),0))</f>
        <v>Board of Directors</v>
      </c>
      <c r="C5" s="353" t="str">
        <f>IF(D5="","",_xlfn.XLOOKUP(D5,'Activity Master Opex'!C:C,'Activity Master Opex'!B:B,0,0,1))</f>
        <v>BD001-00003</v>
      </c>
      <c r="D5" s="190" t="s">
        <v>451</v>
      </c>
      <c r="E5" s="189" t="str">
        <f>IF(D5="","",IFERROR(VLOOKUP(D5,'Activity Master Opex'!$C:$M,6,FALSE),0))</f>
        <v>Document delivery fee</v>
      </c>
      <c r="F5" s="191" t="str">
        <f>IF($C5="","",VLOOKUP($C5,'Activity Master Opex'!$B:$I,3,0))</f>
        <v>10301BD001</v>
      </c>
      <c r="G5" s="189" t="str">
        <f>IF($C5="","",VLOOKUP($F5,'Master Data'!$D$59:$E$147,2,FALSE))</f>
        <v>BOARD OF DIRECTORS</v>
      </c>
      <c r="H5" s="192">
        <f>IF($C5="","",VLOOKUP($C5,'Activity Master Opex'!$B:$I,5,0))</f>
        <v>61800020</v>
      </c>
      <c r="I5" s="188" t="str">
        <f>IFERROR(VLOOKUP(H5,'Activity Master Opex'!$F:$G,2,FALSE),"")</f>
        <v>PT Exp. - Postage and Courier</v>
      </c>
      <c r="J5" s="193">
        <f>2064*15500</f>
        <v>31992000</v>
      </c>
      <c r="K5" s="193">
        <v>1974088</v>
      </c>
      <c r="L5" s="194"/>
      <c r="M5" s="194"/>
      <c r="N5" s="194"/>
      <c r="O5" s="194"/>
      <c r="P5" s="194"/>
      <c r="Q5" s="194"/>
      <c r="R5" s="194"/>
      <c r="S5" s="194"/>
      <c r="T5" s="194"/>
      <c r="U5" s="194"/>
      <c r="V5" s="194"/>
      <c r="W5" s="194"/>
      <c r="X5" s="195">
        <f>SUM(L5:W5)</f>
        <v>0</v>
      </c>
      <c r="Y5" s="196"/>
      <c r="Z5" s="148"/>
      <c r="AA5" s="148"/>
      <c r="AB5" s="148"/>
      <c r="AC5" s="148"/>
      <c r="AD5" s="148"/>
      <c r="AE5" s="148"/>
      <c r="AF5" s="148"/>
      <c r="AG5" s="148"/>
      <c r="AH5" s="148"/>
      <c r="AI5" s="148"/>
      <c r="AJ5" s="148"/>
      <c r="AK5" s="148"/>
      <c r="AL5" s="197">
        <f t="shared" si="0"/>
        <v>0</v>
      </c>
      <c r="AM5" s="198"/>
      <c r="AN5" s="148"/>
      <c r="AO5" s="148"/>
      <c r="AP5" s="148"/>
      <c r="AQ5" s="148"/>
      <c r="AR5" s="148"/>
      <c r="AS5" s="148"/>
      <c r="AT5" s="148"/>
      <c r="AU5" s="148"/>
      <c r="AV5" s="148"/>
      <c r="AW5" s="148"/>
      <c r="AX5" s="148"/>
      <c r="AY5" s="148"/>
      <c r="AZ5" s="197">
        <f t="shared" si="1"/>
        <v>0</v>
      </c>
      <c r="BA5" s="199">
        <f t="shared" si="2"/>
        <v>-31992000</v>
      </c>
      <c r="BB5" s="200"/>
      <c r="BC5" s="201">
        <f t="shared" si="3"/>
        <v>0</v>
      </c>
      <c r="BD5" s="202" t="str">
        <f>IF('Budget Opex Detail'!C5="","",IF(COUNTIFS('Activity Master Opex'!$B$4:$B$172,'Budget Opex Detail'!$C5)&gt;0,"","New Activity"))</f>
        <v/>
      </c>
      <c r="BE5" s="203"/>
      <c r="BF5" s="204"/>
      <c r="BG5" s="205"/>
      <c r="BH5" s="206"/>
      <c r="BI5" s="207"/>
      <c r="BJ5" s="207"/>
      <c r="BK5" s="208"/>
      <c r="BL5" s="153">
        <f t="shared" ref="BL5:BL51" si="6">IF(BJ5="USD",BK5*$BK$2,IF(BJ5="IDR",BK5,0))</f>
        <v>0</v>
      </c>
      <c r="BM5" s="206"/>
      <c r="BN5" s="206"/>
      <c r="BO5" s="209">
        <f t="shared" si="4"/>
        <v>0</v>
      </c>
      <c r="BP5" s="210"/>
      <c r="BR5" s="212" t="str">
        <f>IF($H5="","",VLOOKUP($H5,'Master Data'!$B:$D,3,FALSE))</f>
        <v>Postage &amp; Telecom E</v>
      </c>
      <c r="BS5" s="212" t="str">
        <f t="shared" ref="BS5:BS51" si="7">IF(C5="","",IF($A5&lt;&gt;"human resources",IF(LEFT(F5,6)="10301S","Selling","General Administrative"),IFERROR(IF(FIND("Selling",D5)&gt;0,"Selling","General Administrative"),"General Administrative")))</f>
        <v>General Administrative</v>
      </c>
      <c r="BT5" s="212" t="str">
        <f>IF($H5="","",VLOOKUP(VALUE($H5),'Master Data'!B:I,8,FALSE))</f>
        <v>Postage and telecomunication</v>
      </c>
    </row>
    <row r="6" spans="1:72" s="211" customFormat="1" x14ac:dyDescent="0.35">
      <c r="A6" s="188" t="str">
        <f>IF(D6="","",Cover!$D$8)</f>
        <v>PD Office</v>
      </c>
      <c r="B6" s="138" t="str">
        <f>IF(D6="","",IFERROR(VLOOKUP(G6,'Master Data'!$E$59:$J$144,6,FALSE),0))</f>
        <v>Board of Directors</v>
      </c>
      <c r="C6" s="353" t="str">
        <f>IF(D6="","",_xlfn.XLOOKUP(D6,'Activity Master Opex'!C:C,'Activity Master Opex'!B:B,0,0,1))</f>
        <v>BD001-00004</v>
      </c>
      <c r="D6" s="190" t="s">
        <v>453</v>
      </c>
      <c r="E6" s="189" t="str">
        <f>IF(D6="","",IFERROR(VLOOKUP(D6,'Activity Master Opex'!$C:$M,6,FALSE),0))</f>
        <v>Purchase of stamp duty</v>
      </c>
      <c r="F6" s="191" t="str">
        <f>IF($C6="","",VLOOKUP($C6,'Activity Master Opex'!$B:$I,3,0))</f>
        <v>10301BD001</v>
      </c>
      <c r="G6" s="189" t="str">
        <f>IF($C6="","",VLOOKUP($F6,'Master Data'!$D$59:$E$147,2,FALSE))</f>
        <v>BOARD OF DIRECTORS</v>
      </c>
      <c r="H6" s="192">
        <f>IF($C6="","",VLOOKUP($C6,'Activity Master Opex'!$B:$I,5,0))</f>
        <v>61800030</v>
      </c>
      <c r="I6" s="188" t="str">
        <f>IFERROR(VLOOKUP(H6,'Activity Master Opex'!$F:$G,2,FALSE),"")</f>
        <v>PT Exp. - Stamp Duty</v>
      </c>
      <c r="J6" s="193">
        <f>216*15500</f>
        <v>3348000</v>
      </c>
      <c r="K6" s="193">
        <v>0</v>
      </c>
      <c r="L6" s="194"/>
      <c r="M6" s="194"/>
      <c r="N6" s="194"/>
      <c r="O6" s="194"/>
      <c r="P6" s="194"/>
      <c r="Q6" s="194"/>
      <c r="R6" s="194"/>
      <c r="S6" s="194"/>
      <c r="T6" s="194"/>
      <c r="U6" s="194"/>
      <c r="V6" s="194"/>
      <c r="W6" s="194"/>
      <c r="X6" s="195">
        <f>SUM(L6:W6)</f>
        <v>0</v>
      </c>
      <c r="Y6" s="196"/>
      <c r="Z6" s="148"/>
      <c r="AA6" s="148"/>
      <c r="AB6" s="148"/>
      <c r="AC6" s="148"/>
      <c r="AD6" s="148"/>
      <c r="AE6" s="148"/>
      <c r="AF6" s="148"/>
      <c r="AG6" s="148"/>
      <c r="AH6" s="148"/>
      <c r="AI6" s="148"/>
      <c r="AJ6" s="148"/>
      <c r="AK6" s="148"/>
      <c r="AL6" s="197">
        <f t="shared" si="0"/>
        <v>0</v>
      </c>
      <c r="AM6" s="198"/>
      <c r="AN6" s="148"/>
      <c r="AO6" s="148"/>
      <c r="AP6" s="148"/>
      <c r="AQ6" s="148"/>
      <c r="AR6" s="148"/>
      <c r="AS6" s="148"/>
      <c r="AT6" s="148"/>
      <c r="AU6" s="148"/>
      <c r="AV6" s="148"/>
      <c r="AW6" s="148"/>
      <c r="AX6" s="148"/>
      <c r="AY6" s="148"/>
      <c r="AZ6" s="197">
        <f t="shared" si="1"/>
        <v>0</v>
      </c>
      <c r="BA6" s="199">
        <f t="shared" si="2"/>
        <v>-3348000</v>
      </c>
      <c r="BB6" s="200"/>
      <c r="BC6" s="201">
        <f t="shared" si="3"/>
        <v>0</v>
      </c>
      <c r="BD6" s="202" t="str">
        <f>IF('Budget Opex Detail'!C6="","",IF(COUNTIFS('Activity Master Opex'!$B$4:$B$172,'Budget Opex Detail'!$C6)&gt;0,"","New Activity"))</f>
        <v/>
      </c>
      <c r="BE6" s="203"/>
      <c r="BF6" s="204"/>
      <c r="BG6" s="205"/>
      <c r="BH6" s="206"/>
      <c r="BI6" s="207"/>
      <c r="BJ6" s="207"/>
      <c r="BK6" s="208"/>
      <c r="BL6" s="153">
        <f t="shared" si="6"/>
        <v>0</v>
      </c>
      <c r="BM6" s="206"/>
      <c r="BN6" s="206"/>
      <c r="BO6" s="209">
        <f t="shared" si="4"/>
        <v>0</v>
      </c>
      <c r="BP6" s="210"/>
      <c r="BR6" s="212" t="str">
        <f>IF($H6="","",VLOOKUP($H6,'Master Data'!$B:$D,3,FALSE))</f>
        <v>Postage &amp; Telecom E</v>
      </c>
      <c r="BS6" s="212" t="str">
        <f t="shared" si="7"/>
        <v>General Administrative</v>
      </c>
      <c r="BT6" s="212" t="str">
        <f>IF($H6="","",VLOOKUP(VALUE($H6),'Master Data'!B:I,8,FALSE))</f>
        <v>Postage and telecomunication</v>
      </c>
    </row>
    <row r="7" spans="1:72" s="211" customFormat="1" x14ac:dyDescent="0.35">
      <c r="A7" s="188" t="str">
        <f>IF(D7="","",Cover!$D$8)</f>
        <v>PD Office</v>
      </c>
      <c r="B7" s="138" t="str">
        <f>IF(D7="","",IFERROR(VLOOKUP(G7,'Master Data'!$E$59:$J$144,6,FALSE),0))</f>
        <v>Board of Directors</v>
      </c>
      <c r="C7" s="353" t="str">
        <f>IF(D7="","",_xlfn.XLOOKUP(D7,'Activity Master Opex'!C:C,'Activity Master Opex'!B:B,0,0,1))</f>
        <v>BD001-00005</v>
      </c>
      <c r="D7" s="190" t="s">
        <v>724</v>
      </c>
      <c r="E7" s="189" t="str">
        <f>IF(D7="","",IFERROR(VLOOKUP(D7,'Activity Master Opex'!$C:$M,6,FALSE),0))</f>
        <v>Bouquet for business colleague</v>
      </c>
      <c r="F7" s="191" t="str">
        <f>IF($C7="","",VLOOKUP($C7,'Activity Master Opex'!$B:$I,3,0))</f>
        <v>10301BD001</v>
      </c>
      <c r="G7" s="189" t="str">
        <f>IF($C7="","",VLOOKUP($F7,'Master Data'!$D$59:$E$147,2,FALSE))</f>
        <v>BOARD OF DIRECTORS</v>
      </c>
      <c r="H7" s="192">
        <f>IF($C7="","",VLOOKUP($C7,'Activity Master Opex'!$B:$I,5,0))</f>
        <v>62000040</v>
      </c>
      <c r="I7" s="188" t="str">
        <f>IFERROR(VLOOKUP(H7,'Activity Master Opex'!$F:$G,2,FALSE),"")</f>
        <v>Ent. Exp - Others Entertainment</v>
      </c>
      <c r="J7" s="193">
        <f>1512*15500</f>
        <v>23436000</v>
      </c>
      <c r="K7" s="193">
        <v>0</v>
      </c>
      <c r="L7" s="194"/>
      <c r="M7" s="194"/>
      <c r="N7" s="194"/>
      <c r="O7" s="194"/>
      <c r="P7" s="194"/>
      <c r="Q7" s="194"/>
      <c r="R7" s="194"/>
      <c r="S7" s="194"/>
      <c r="T7" s="194"/>
      <c r="U7" s="194"/>
      <c r="V7" s="194"/>
      <c r="W7" s="194"/>
      <c r="X7" s="195">
        <f>SUM(L7:W7)</f>
        <v>0</v>
      </c>
      <c r="Y7" s="196"/>
      <c r="Z7" s="148"/>
      <c r="AA7" s="148"/>
      <c r="AB7" s="148"/>
      <c r="AC7" s="148"/>
      <c r="AD7" s="148"/>
      <c r="AE7" s="148"/>
      <c r="AF7" s="148"/>
      <c r="AG7" s="148"/>
      <c r="AH7" s="148"/>
      <c r="AI7" s="148"/>
      <c r="AJ7" s="148"/>
      <c r="AK7" s="148"/>
      <c r="AL7" s="197">
        <f t="shared" si="0"/>
        <v>0</v>
      </c>
      <c r="AM7" s="198"/>
      <c r="AN7" s="148"/>
      <c r="AO7" s="148"/>
      <c r="AP7" s="148"/>
      <c r="AQ7" s="148"/>
      <c r="AR7" s="148"/>
      <c r="AS7" s="148"/>
      <c r="AT7" s="148"/>
      <c r="AU7" s="148"/>
      <c r="AV7" s="148"/>
      <c r="AW7" s="148"/>
      <c r="AX7" s="148"/>
      <c r="AY7" s="148"/>
      <c r="AZ7" s="197">
        <f t="shared" si="1"/>
        <v>0</v>
      </c>
      <c r="BA7" s="199">
        <f t="shared" si="2"/>
        <v>-23436000</v>
      </c>
      <c r="BB7" s="200"/>
      <c r="BC7" s="201">
        <f t="shared" si="3"/>
        <v>0</v>
      </c>
      <c r="BD7" s="202" t="str">
        <f>IF('Budget Opex Detail'!C7="","",IF(COUNTIFS('Activity Master Opex'!$B$4:$B$172,'Budget Opex Detail'!$C7)&gt;0,"","New Activity"))</f>
        <v/>
      </c>
      <c r="BE7" s="203"/>
      <c r="BF7" s="204"/>
      <c r="BG7" s="205"/>
      <c r="BH7" s="206"/>
      <c r="BI7" s="207"/>
      <c r="BJ7" s="207"/>
      <c r="BK7" s="208"/>
      <c r="BL7" s="153">
        <f t="shared" si="6"/>
        <v>0</v>
      </c>
      <c r="BM7" s="206"/>
      <c r="BN7" s="206"/>
      <c r="BO7" s="209">
        <f t="shared" si="4"/>
        <v>0</v>
      </c>
      <c r="BP7" s="210"/>
      <c r="BR7" s="212" t="str">
        <f>IF($H7="","",VLOOKUP($H7,'Master Data'!$B:$D,3,FALSE))</f>
        <v>Entertainment Expenses</v>
      </c>
      <c r="BS7" s="212" t="str">
        <f t="shared" si="7"/>
        <v>General Administrative</v>
      </c>
      <c r="BT7" s="212" t="str">
        <f>IF($H7="","",VLOOKUP(VALUE($H7),'Master Data'!B:I,8,FALSE))</f>
        <v xml:space="preserve">Entertainment </v>
      </c>
    </row>
    <row r="8" spans="1:72" s="211" customFormat="1" x14ac:dyDescent="0.35">
      <c r="A8" s="188" t="str">
        <f>IF(D8="","",Cover!$D$8)</f>
        <v>PD Office</v>
      </c>
      <c r="B8" s="138" t="str">
        <f>IF(D8="","",IFERROR(VLOOKUP(G8,'Master Data'!$E$59:$J$144,6,FALSE),0))</f>
        <v>Board of Directors</v>
      </c>
      <c r="C8" s="353" t="str">
        <f>IF(D8="","",_xlfn.XLOOKUP(D8,'Activity Master Opex'!C:C,'Activity Master Opex'!B:B,0,0,1))</f>
        <v>BD001-00006</v>
      </c>
      <c r="D8" s="190" t="s">
        <v>456</v>
      </c>
      <c r="E8" s="189" t="str">
        <f>IF(D8="","",IFERROR(VLOOKUP(D8,'Activity Master Opex'!$C:$M,6,FALSE),0))</f>
        <v>Souvenirs/gifts/hampers for business colleague, guests</v>
      </c>
      <c r="F8" s="191" t="str">
        <f>IF($C8="","",VLOOKUP($C8,'Activity Master Opex'!$B:$I,3,0))</f>
        <v>10301BD001</v>
      </c>
      <c r="G8" s="189" t="str">
        <f>IF($C8="","",VLOOKUP($F8,'Master Data'!$D$59:$E$147,2,FALSE))</f>
        <v>BOARD OF DIRECTORS</v>
      </c>
      <c r="H8" s="192">
        <f>IF($C8="","",VLOOKUP($C8,'Activity Master Opex'!$B:$I,5,0))</f>
        <v>62000040</v>
      </c>
      <c r="I8" s="188" t="str">
        <f>IFERROR(VLOOKUP(H8,'Activity Master Opex'!$F:$G,2,FALSE),"")</f>
        <v>Ent. Exp - Others Entertainment</v>
      </c>
      <c r="J8" s="193">
        <f>3732*15500</f>
        <v>57846000</v>
      </c>
      <c r="K8" s="193">
        <v>8877513</v>
      </c>
      <c r="L8" s="194"/>
      <c r="M8" s="194"/>
      <c r="N8" s="194"/>
      <c r="O8" s="194"/>
      <c r="P8" s="194"/>
      <c r="Q8" s="194"/>
      <c r="R8" s="194"/>
      <c r="S8" s="194"/>
      <c r="T8" s="194"/>
      <c r="U8" s="194"/>
      <c r="V8" s="194"/>
      <c r="W8" s="194"/>
      <c r="X8" s="195">
        <f t="shared" ref="X8:X10" si="8">SUM(L8:W8)</f>
        <v>0</v>
      </c>
      <c r="Y8" s="196"/>
      <c r="Z8" s="148"/>
      <c r="AA8" s="148"/>
      <c r="AB8" s="148"/>
      <c r="AC8" s="148"/>
      <c r="AD8" s="148"/>
      <c r="AE8" s="148"/>
      <c r="AF8" s="148"/>
      <c r="AG8" s="148"/>
      <c r="AH8" s="148"/>
      <c r="AI8" s="148"/>
      <c r="AJ8" s="148"/>
      <c r="AK8" s="148"/>
      <c r="AL8" s="197">
        <f t="shared" si="0"/>
        <v>0</v>
      </c>
      <c r="AM8" s="198"/>
      <c r="AN8" s="148"/>
      <c r="AO8" s="148"/>
      <c r="AP8" s="148"/>
      <c r="AQ8" s="148"/>
      <c r="AR8" s="148"/>
      <c r="AS8" s="148"/>
      <c r="AT8" s="148"/>
      <c r="AU8" s="148"/>
      <c r="AV8" s="148"/>
      <c r="AW8" s="148"/>
      <c r="AX8" s="148"/>
      <c r="AY8" s="148"/>
      <c r="AZ8" s="197">
        <f t="shared" si="1"/>
        <v>0</v>
      </c>
      <c r="BA8" s="199">
        <f t="shared" si="2"/>
        <v>-57846000</v>
      </c>
      <c r="BB8" s="200"/>
      <c r="BC8" s="201">
        <f t="shared" si="3"/>
        <v>0</v>
      </c>
      <c r="BD8" s="202" t="str">
        <f>IF('Budget Opex Detail'!C8="","",IF(COUNTIFS('Activity Master Opex'!$B$4:$B$172,'Budget Opex Detail'!$C8)&gt;0,"","New Activity"))</f>
        <v/>
      </c>
      <c r="BE8" s="203"/>
      <c r="BF8" s="204"/>
      <c r="BG8" s="205"/>
      <c r="BH8" s="206"/>
      <c r="BI8" s="207"/>
      <c r="BJ8" s="207"/>
      <c r="BK8" s="208"/>
      <c r="BL8" s="153">
        <f t="shared" si="6"/>
        <v>0</v>
      </c>
      <c r="BM8" s="206"/>
      <c r="BN8" s="206"/>
      <c r="BO8" s="209">
        <f t="shared" si="4"/>
        <v>0</v>
      </c>
      <c r="BP8" s="210"/>
      <c r="BR8" s="212" t="str">
        <f>IF($H8="","",VLOOKUP($H8,'Master Data'!$B:$D,3,FALSE))</f>
        <v>Entertainment Expenses</v>
      </c>
      <c r="BS8" s="212" t="str">
        <f t="shared" si="7"/>
        <v>General Administrative</v>
      </c>
      <c r="BT8" s="212" t="str">
        <f>IF($H8="","",VLOOKUP(VALUE($H8),'Master Data'!B:I,8,FALSE))</f>
        <v xml:space="preserve">Entertainment </v>
      </c>
    </row>
    <row r="9" spans="1:72" s="211" customFormat="1" x14ac:dyDescent="0.35">
      <c r="A9" s="188" t="str">
        <f>IF(D9="","",Cover!$D$8)</f>
        <v>PD Office</v>
      </c>
      <c r="B9" s="138" t="str">
        <f>IF(D9="","",IFERROR(VLOOKUP(G9,'Master Data'!$E$59:$J$144,6,FALSE),0))</f>
        <v>Board of Directors</v>
      </c>
      <c r="C9" s="353" t="str">
        <f>IF(D9="","",_xlfn.XLOOKUP(D9,'Activity Master Opex'!C:C,'Activity Master Opex'!B:B,0,0,1))</f>
        <v>BD001-00007</v>
      </c>
      <c r="D9" s="190" t="s">
        <v>725</v>
      </c>
      <c r="E9" s="189" t="str">
        <f>IF(D9="","",IFERROR(VLOOKUP(D9,'Activity Master Opex'!$C:$M,6,FALSE),0))</f>
        <v>Meeting expenses BoD with external parties</v>
      </c>
      <c r="F9" s="191" t="str">
        <f>IF($C9="","",VLOOKUP($C9,'Activity Master Opex'!$B:$I,3,0))</f>
        <v>10301BD001</v>
      </c>
      <c r="G9" s="189" t="str">
        <f>IF($C9="","",VLOOKUP($F9,'Master Data'!$D$59:$E$147,2,FALSE))</f>
        <v>BOARD OF DIRECTORS</v>
      </c>
      <c r="H9" s="192">
        <f>IF($C9="","",VLOOKUP($C9,'Activity Master Opex'!$B:$I,5,0))</f>
        <v>62300010</v>
      </c>
      <c r="I9" s="188" t="str">
        <f>IFERROR(VLOOKUP(H9,'Activity Master Opex'!$F:$G,2,FALSE),"")</f>
        <v>Meeting Expenses</v>
      </c>
      <c r="J9" s="193">
        <f>25615*15500</f>
        <v>397032500</v>
      </c>
      <c r="K9" s="193">
        <v>63646750</v>
      </c>
      <c r="L9" s="194"/>
      <c r="M9" s="194"/>
      <c r="N9" s="194"/>
      <c r="O9" s="194"/>
      <c r="P9" s="194"/>
      <c r="Q9" s="194"/>
      <c r="R9" s="194"/>
      <c r="S9" s="194"/>
      <c r="T9" s="194"/>
      <c r="U9" s="194"/>
      <c r="V9" s="194"/>
      <c r="W9" s="194"/>
      <c r="X9" s="195">
        <f t="shared" si="8"/>
        <v>0</v>
      </c>
      <c r="Y9" s="196"/>
      <c r="Z9" s="148"/>
      <c r="AA9" s="148"/>
      <c r="AB9" s="148"/>
      <c r="AC9" s="148"/>
      <c r="AD9" s="148"/>
      <c r="AE9" s="148"/>
      <c r="AF9" s="148"/>
      <c r="AG9" s="148"/>
      <c r="AH9" s="148"/>
      <c r="AI9" s="148"/>
      <c r="AJ9" s="148"/>
      <c r="AK9" s="148"/>
      <c r="AL9" s="197">
        <f t="shared" si="0"/>
        <v>0</v>
      </c>
      <c r="AM9" s="198"/>
      <c r="AN9" s="148"/>
      <c r="AO9" s="148"/>
      <c r="AP9" s="148"/>
      <c r="AQ9" s="148"/>
      <c r="AR9" s="148"/>
      <c r="AS9" s="148"/>
      <c r="AT9" s="148"/>
      <c r="AU9" s="148"/>
      <c r="AV9" s="148"/>
      <c r="AW9" s="148"/>
      <c r="AX9" s="148"/>
      <c r="AY9" s="148"/>
      <c r="AZ9" s="197">
        <f t="shared" si="1"/>
        <v>0</v>
      </c>
      <c r="BA9" s="199">
        <f t="shared" si="2"/>
        <v>-397032500</v>
      </c>
      <c r="BB9" s="200"/>
      <c r="BC9" s="201">
        <f t="shared" si="3"/>
        <v>0</v>
      </c>
      <c r="BD9" s="202" t="str">
        <f>IF('Budget Opex Detail'!C9="","",IF(COUNTIFS('Activity Master Opex'!$B$4:$B$172,'Budget Opex Detail'!$C9)&gt;0,"","New Activity"))</f>
        <v/>
      </c>
      <c r="BE9" s="203"/>
      <c r="BF9" s="204"/>
      <c r="BG9" s="205"/>
      <c r="BH9" s="206"/>
      <c r="BI9" s="207"/>
      <c r="BJ9" s="207"/>
      <c r="BK9" s="208"/>
      <c r="BL9" s="153">
        <f t="shared" si="6"/>
        <v>0</v>
      </c>
      <c r="BM9" s="206"/>
      <c r="BN9" s="206"/>
      <c r="BO9" s="209">
        <f t="shared" si="4"/>
        <v>0</v>
      </c>
      <c r="BP9" s="210"/>
      <c r="BR9" s="212" t="str">
        <f>IF($H9="","",VLOOKUP($H9,'Master Data'!$B:$D,3,FALSE))</f>
        <v>Meeting &amp; Ceremony Expense</v>
      </c>
      <c r="BS9" s="212" t="str">
        <f t="shared" si="7"/>
        <v>General Administrative</v>
      </c>
      <c r="BT9" s="212" t="str">
        <f>IF($H9="","",VLOOKUP(VALUE($H9),'Master Data'!B:I,8,FALSE))</f>
        <v>Meeting and ceremony</v>
      </c>
    </row>
    <row r="10" spans="1:72" s="211" customFormat="1" x14ac:dyDescent="0.35">
      <c r="A10" s="188" t="str">
        <f>IF(D10="","",Cover!$D$8)</f>
        <v>PD Office</v>
      </c>
      <c r="B10" s="138" t="str">
        <f>IF(D10="","",IFERROR(VLOOKUP(G10,'Master Data'!$E$59:$J$144,6,FALSE),0))</f>
        <v>Board of Directors</v>
      </c>
      <c r="C10" s="353" t="str">
        <f>IF(D10="","",_xlfn.XLOOKUP(D10,'Activity Master Opex'!C:C,'Activity Master Opex'!B:B,0,0,1))</f>
        <v>BD001-00008</v>
      </c>
      <c r="D10" s="190" t="s">
        <v>721</v>
      </c>
      <c r="E10" s="189" t="str">
        <f>IF(D10="","",IFERROR(VLOOKUP(D10,'Activity Master Opex'!$C:$M,6,FALSE),0))</f>
        <v>Meeting expenses BoD with internal team, shareholders</v>
      </c>
      <c r="F10" s="191" t="str">
        <f>IF($C10="","",VLOOKUP($C10,'Activity Master Opex'!$B:$I,3,0))</f>
        <v>10301BD001</v>
      </c>
      <c r="G10" s="189" t="str">
        <f>IF($C10="","",VLOOKUP($F10,'Master Data'!$D$59:$E$147,2,FALSE))</f>
        <v>BOARD OF DIRECTORS</v>
      </c>
      <c r="H10" s="192">
        <f>IF($C10="","",VLOOKUP($C10,'Activity Master Opex'!$B:$I,5,0))</f>
        <v>62300010</v>
      </c>
      <c r="I10" s="188" t="str">
        <f>IFERROR(VLOOKUP(H10,'Activity Master Opex'!$F:$G,2,FALSE),"")</f>
        <v>Meeting Expenses</v>
      </c>
      <c r="J10" s="193">
        <f>36636*15500</f>
        <v>567858000</v>
      </c>
      <c r="K10" s="193">
        <v>130284293</v>
      </c>
      <c r="L10" s="194"/>
      <c r="M10" s="194"/>
      <c r="N10" s="194"/>
      <c r="O10" s="194"/>
      <c r="P10" s="194"/>
      <c r="Q10" s="194"/>
      <c r="R10" s="194"/>
      <c r="S10" s="194"/>
      <c r="T10" s="194"/>
      <c r="U10" s="194"/>
      <c r="V10" s="194"/>
      <c r="W10" s="194"/>
      <c r="X10" s="195">
        <f t="shared" si="8"/>
        <v>0</v>
      </c>
      <c r="Y10" s="196"/>
      <c r="Z10" s="148"/>
      <c r="AA10" s="148"/>
      <c r="AB10" s="148"/>
      <c r="AC10" s="148"/>
      <c r="AD10" s="148"/>
      <c r="AE10" s="148"/>
      <c r="AF10" s="148"/>
      <c r="AG10" s="148"/>
      <c r="AH10" s="148"/>
      <c r="AI10" s="148"/>
      <c r="AJ10" s="148"/>
      <c r="AK10" s="148"/>
      <c r="AL10" s="197">
        <f t="shared" si="0"/>
        <v>0</v>
      </c>
      <c r="AM10" s="198"/>
      <c r="AN10" s="148"/>
      <c r="AO10" s="148"/>
      <c r="AP10" s="148"/>
      <c r="AQ10" s="148"/>
      <c r="AR10" s="148"/>
      <c r="AS10" s="148"/>
      <c r="AT10" s="148"/>
      <c r="AU10" s="148"/>
      <c r="AV10" s="148"/>
      <c r="AW10" s="148"/>
      <c r="AX10" s="148"/>
      <c r="AY10" s="148"/>
      <c r="AZ10" s="197">
        <f t="shared" si="1"/>
        <v>0</v>
      </c>
      <c r="BA10" s="199">
        <f t="shared" si="2"/>
        <v>-567858000</v>
      </c>
      <c r="BB10" s="200"/>
      <c r="BC10" s="201">
        <f t="shared" si="3"/>
        <v>0</v>
      </c>
      <c r="BD10" s="202" t="str">
        <f>IF('Budget Opex Detail'!C10="","",IF(COUNTIFS('Activity Master Opex'!$B$4:$B$172,'Budget Opex Detail'!$C10)&gt;0,"","New Activity"))</f>
        <v/>
      </c>
      <c r="BE10" s="203"/>
      <c r="BF10" s="204"/>
      <c r="BG10" s="205"/>
      <c r="BH10" s="206"/>
      <c r="BI10" s="207"/>
      <c r="BJ10" s="207"/>
      <c r="BK10" s="208"/>
      <c r="BL10" s="153">
        <f t="shared" si="6"/>
        <v>0</v>
      </c>
      <c r="BM10" s="206"/>
      <c r="BN10" s="206"/>
      <c r="BO10" s="209">
        <f t="shared" si="4"/>
        <v>0</v>
      </c>
      <c r="BP10" s="210"/>
      <c r="BR10" s="212" t="str">
        <f>IF($H10="","",VLOOKUP($H10,'Master Data'!$B:$D,3,FALSE))</f>
        <v>Meeting &amp; Ceremony Expense</v>
      </c>
      <c r="BS10" s="212" t="str">
        <f t="shared" si="7"/>
        <v>General Administrative</v>
      </c>
      <c r="BT10" s="212" t="str">
        <f>IF($H10="","",VLOOKUP(VALUE($H10),'Master Data'!B:I,8,FALSE))</f>
        <v>Meeting and ceremony</v>
      </c>
    </row>
    <row r="11" spans="1:72" s="211" customFormat="1" x14ac:dyDescent="0.35">
      <c r="A11" s="188" t="str">
        <f>IF(D11="","",Cover!$D$8)</f>
        <v>PD Office</v>
      </c>
      <c r="B11" s="138" t="str">
        <f>IF(D11="","",IFERROR(VLOOKUP(G11,'Master Data'!$E$59:$J$144,6,FALSE),0))</f>
        <v>Board of Directors</v>
      </c>
      <c r="C11" s="353" t="str">
        <f>IF(D11="","",_xlfn.XLOOKUP(D11,'Activity Master Opex'!C:C,'Activity Master Opex'!B:B,0,0,1))</f>
        <v>BD001-00009</v>
      </c>
      <c r="D11" s="190" t="s">
        <v>460</v>
      </c>
      <c r="E11" s="189" t="str">
        <f>IF(D11="","",IFERROR(VLOOKUP(D11,'Activity Master Opex'!$C:$M,6,FALSE),0))</f>
        <v>Birthday cake for BoD</v>
      </c>
      <c r="F11" s="191" t="str">
        <f>IF($C11="","",VLOOKUP($C11,'Activity Master Opex'!$B:$I,3,0))</f>
        <v>10301BD001</v>
      </c>
      <c r="G11" s="189" t="str">
        <f>IF($C11="","",VLOOKUP($F11,'Master Data'!$D$59:$E$147,2,FALSE))</f>
        <v>BOARD OF DIRECTORS</v>
      </c>
      <c r="H11" s="192">
        <f>IF($C11="","",VLOOKUP($C11,'Activity Master Opex'!$B:$I,5,0))</f>
        <v>62300010</v>
      </c>
      <c r="I11" s="188" t="str">
        <f>IFERROR(VLOOKUP(H11,'Activity Master Opex'!$F:$G,2,FALSE),"")</f>
        <v>Meeting Expenses</v>
      </c>
      <c r="J11" s="193">
        <f>690*15500</f>
        <v>10695000</v>
      </c>
      <c r="K11" s="193">
        <v>1430838</v>
      </c>
      <c r="L11" s="194"/>
      <c r="M11" s="194"/>
      <c r="N11" s="194"/>
      <c r="O11" s="194"/>
      <c r="P11" s="194"/>
      <c r="Q11" s="194"/>
      <c r="R11" s="194"/>
      <c r="S11" s="194"/>
      <c r="T11" s="194"/>
      <c r="U11" s="194"/>
      <c r="V11" s="194"/>
      <c r="W11" s="194"/>
      <c r="X11" s="195">
        <f t="shared" ref="X11:X51" si="9">SUM(L11:W11)</f>
        <v>0</v>
      </c>
      <c r="Y11" s="196"/>
      <c r="Z11" s="148"/>
      <c r="AA11" s="148"/>
      <c r="AB11" s="148"/>
      <c r="AC11" s="148"/>
      <c r="AD11" s="148"/>
      <c r="AE11" s="148"/>
      <c r="AF11" s="148"/>
      <c r="AG11" s="148"/>
      <c r="AH11" s="148"/>
      <c r="AI11" s="148"/>
      <c r="AJ11" s="148"/>
      <c r="AK11" s="148"/>
      <c r="AL11" s="197">
        <f t="shared" si="0"/>
        <v>0</v>
      </c>
      <c r="AM11" s="198"/>
      <c r="AN11" s="148"/>
      <c r="AO11" s="148"/>
      <c r="AP11" s="148"/>
      <c r="AQ11" s="148"/>
      <c r="AR11" s="148"/>
      <c r="AS11" s="148"/>
      <c r="AT11" s="148"/>
      <c r="AU11" s="148"/>
      <c r="AV11" s="148"/>
      <c r="AW11" s="148"/>
      <c r="AX11" s="148"/>
      <c r="AY11" s="148"/>
      <c r="AZ11" s="197">
        <f t="shared" si="1"/>
        <v>0</v>
      </c>
      <c r="BA11" s="199">
        <f t="shared" si="2"/>
        <v>-10695000</v>
      </c>
      <c r="BB11" s="200"/>
      <c r="BC11" s="201">
        <f t="shared" si="3"/>
        <v>0</v>
      </c>
      <c r="BD11" s="202" t="str">
        <f>IF('Budget Opex Detail'!C11="","",IF(COUNTIFS('Activity Master Opex'!$B$4:$B$172,'Budget Opex Detail'!$C11)&gt;0,"","New Activity"))</f>
        <v/>
      </c>
      <c r="BE11" s="203"/>
      <c r="BF11" s="204"/>
      <c r="BG11" s="205"/>
      <c r="BH11" s="206"/>
      <c r="BI11" s="207"/>
      <c r="BJ11" s="207"/>
      <c r="BK11" s="208"/>
      <c r="BL11" s="153">
        <f t="shared" si="6"/>
        <v>0</v>
      </c>
      <c r="BM11" s="206"/>
      <c r="BN11" s="206"/>
      <c r="BO11" s="209">
        <f t="shared" si="4"/>
        <v>0</v>
      </c>
      <c r="BP11" s="210"/>
      <c r="BR11" s="212" t="str">
        <f>IF($H11="","",VLOOKUP($H11,'Master Data'!$B:$D,3,FALSE))</f>
        <v>Meeting &amp; Ceremony Expense</v>
      </c>
      <c r="BS11" s="212" t="str">
        <f t="shared" si="7"/>
        <v>General Administrative</v>
      </c>
      <c r="BT11" s="212" t="str">
        <f>IF($H11="","",VLOOKUP(VALUE($H11),'Master Data'!B:I,8,FALSE))</f>
        <v>Meeting and ceremony</v>
      </c>
    </row>
    <row r="12" spans="1:72" s="211" customFormat="1" x14ac:dyDescent="0.35">
      <c r="A12" s="188" t="str">
        <f>IF(D12="","",Cover!$D$8)</f>
        <v>PD Office</v>
      </c>
      <c r="B12" s="138" t="str">
        <f>IF(D12="","",IFERROR(VLOOKUP(G12,'Master Data'!$E$59:$J$144,6,FALSE),0))</f>
        <v>Board of Directors</v>
      </c>
      <c r="C12" s="353" t="str">
        <f>IF(D12="","",_xlfn.XLOOKUP(D12,'Activity Master Opex'!C:C,'Activity Master Opex'!B:B,0,0,1))</f>
        <v>BD001-00010</v>
      </c>
      <c r="D12" s="190" t="s">
        <v>477</v>
      </c>
      <c r="E12" s="189" t="str">
        <f>IF(D12="","",IFERROR(VLOOKUP(D12,'Activity Master Opex'!$C:$M,6,FALSE),0))</f>
        <v>Business trip BoD</v>
      </c>
      <c r="F12" s="191" t="str">
        <f>IF($C12="","",VLOOKUP($C12,'Activity Master Opex'!$B:$I,3,0))</f>
        <v>10301BD001</v>
      </c>
      <c r="G12" s="189" t="str">
        <f>IF($C12="","",VLOOKUP($F12,'Master Data'!$D$59:$E$147,2,FALSE))</f>
        <v>BOARD OF DIRECTORS</v>
      </c>
      <c r="H12" s="192">
        <f>IF($C12="","",VLOOKUP($C12,'Activity Master Opex'!$B:$I,5,0))</f>
        <v>62400030</v>
      </c>
      <c r="I12" s="188" t="str">
        <f>IFERROR(VLOOKUP(H12,'Activity Master Opex'!$F:$G,2,FALSE),"")</f>
        <v>Gen. Transp. Travelling Expenses</v>
      </c>
      <c r="J12" s="193">
        <f>67528*15500</f>
        <v>1046684000</v>
      </c>
      <c r="K12" s="193">
        <v>352360561</v>
      </c>
      <c r="L12" s="194"/>
      <c r="M12" s="194"/>
      <c r="N12" s="194"/>
      <c r="O12" s="194"/>
      <c r="P12" s="194"/>
      <c r="Q12" s="194"/>
      <c r="R12" s="194"/>
      <c r="S12" s="194"/>
      <c r="T12" s="194"/>
      <c r="U12" s="194"/>
      <c r="V12" s="194"/>
      <c r="W12" s="194"/>
      <c r="X12" s="195">
        <f t="shared" si="9"/>
        <v>0</v>
      </c>
      <c r="Y12" s="196"/>
      <c r="Z12" s="148"/>
      <c r="AA12" s="148"/>
      <c r="AB12" s="148"/>
      <c r="AC12" s="148"/>
      <c r="AD12" s="148"/>
      <c r="AE12" s="148"/>
      <c r="AF12" s="148"/>
      <c r="AG12" s="148"/>
      <c r="AH12" s="148"/>
      <c r="AI12" s="148"/>
      <c r="AJ12" s="148"/>
      <c r="AK12" s="148"/>
      <c r="AL12" s="197">
        <f t="shared" si="0"/>
        <v>0</v>
      </c>
      <c r="AM12" s="198"/>
      <c r="AN12" s="148"/>
      <c r="AO12" s="148"/>
      <c r="AP12" s="148"/>
      <c r="AQ12" s="148"/>
      <c r="AR12" s="148"/>
      <c r="AS12" s="148"/>
      <c r="AT12" s="148"/>
      <c r="AU12" s="148"/>
      <c r="AV12" s="148"/>
      <c r="AW12" s="148"/>
      <c r="AX12" s="148"/>
      <c r="AY12" s="148"/>
      <c r="AZ12" s="197">
        <f t="shared" si="1"/>
        <v>0</v>
      </c>
      <c r="BA12" s="199">
        <f t="shared" si="2"/>
        <v>-1046684000</v>
      </c>
      <c r="BB12" s="200"/>
      <c r="BC12" s="201">
        <f t="shared" si="3"/>
        <v>0</v>
      </c>
      <c r="BD12" s="202" t="str">
        <f>IF('Budget Opex Detail'!C12="","",IF(COUNTIFS('Activity Master Opex'!$B$4:$B$172,'Budget Opex Detail'!$C12)&gt;0,"","New Activity"))</f>
        <v/>
      </c>
      <c r="BE12" s="203"/>
      <c r="BF12" s="204"/>
      <c r="BG12" s="205"/>
      <c r="BH12" s="206"/>
      <c r="BI12" s="207"/>
      <c r="BJ12" s="207"/>
      <c r="BK12" s="208"/>
      <c r="BL12" s="153">
        <f t="shared" si="6"/>
        <v>0</v>
      </c>
      <c r="BM12" s="206"/>
      <c r="BN12" s="206"/>
      <c r="BO12" s="209">
        <f t="shared" si="4"/>
        <v>0</v>
      </c>
      <c r="BP12" s="210"/>
      <c r="BR12" s="212" t="str">
        <f>IF($H12="","",VLOOKUP($H12,'Master Data'!$B:$D,3,FALSE))</f>
        <v>General Transportation Exp</v>
      </c>
      <c r="BS12" s="212" t="str">
        <f t="shared" si="7"/>
        <v>General Administrative</v>
      </c>
      <c r="BT12" s="212" t="str">
        <f>IF($H12="","",VLOOKUP(VALUE($H12),'Master Data'!B:I,8,FALSE))</f>
        <v>General transportation</v>
      </c>
    </row>
    <row r="13" spans="1:72" s="211" customFormat="1" x14ac:dyDescent="0.35">
      <c r="A13" s="188" t="str">
        <f>IF(D13="","",Cover!$D$8)</f>
        <v>PD Office</v>
      </c>
      <c r="B13" s="138" t="str">
        <f>IF(D13="","",IFERROR(VLOOKUP(G13,'Master Data'!$E$59:$J$144,6,FALSE),0))</f>
        <v>Board of Directors</v>
      </c>
      <c r="C13" s="353" t="str">
        <f>IF(D13="","",_xlfn.XLOOKUP(D13,'Activity Master Opex'!C:C,'Activity Master Opex'!B:B,0,0,1))</f>
        <v>BD001-00013</v>
      </c>
      <c r="D13" s="190" t="s">
        <v>463</v>
      </c>
      <c r="E13" s="189" t="str">
        <f>IF(D13="","",IFERROR(VLOOKUP(D13,'Activity Master Opex'!$C:$M,6,FALSE),0))</f>
        <v>Rental equipment for event with VVIP Guests</v>
      </c>
      <c r="F13" s="191" t="str">
        <f>IF($C13="","",VLOOKUP($C13,'Activity Master Opex'!$B:$I,3,0))</f>
        <v>10301BD001</v>
      </c>
      <c r="G13" s="189" t="str">
        <f>IF($C13="","",VLOOKUP($F13,'Master Data'!$D$59:$E$147,2,FALSE))</f>
        <v>BOARD OF DIRECTORS</v>
      </c>
      <c r="H13" s="192">
        <f>IF($C13="","",VLOOKUP($C13,'Activity Master Opex'!$B:$I,5,0))</f>
        <v>61700070</v>
      </c>
      <c r="I13" s="188" t="str">
        <f>IFERROR(VLOOKUP(H13,'Activity Master Opex'!$F:$G,2,FALSE),"")</f>
        <v>RE - Rental Other</v>
      </c>
      <c r="J13" s="193">
        <f>1498*15500</f>
        <v>23219000</v>
      </c>
      <c r="K13" s="193">
        <v>480000</v>
      </c>
      <c r="L13" s="194"/>
      <c r="M13" s="194"/>
      <c r="N13" s="194"/>
      <c r="O13" s="194"/>
      <c r="P13" s="194"/>
      <c r="Q13" s="194"/>
      <c r="R13" s="194"/>
      <c r="S13" s="194"/>
      <c r="T13" s="194"/>
      <c r="U13" s="194"/>
      <c r="V13" s="194"/>
      <c r="W13" s="194"/>
      <c r="X13" s="195">
        <f t="shared" si="9"/>
        <v>0</v>
      </c>
      <c r="Y13" s="196"/>
      <c r="Z13" s="148"/>
      <c r="AA13" s="148"/>
      <c r="AB13" s="148"/>
      <c r="AC13" s="148"/>
      <c r="AD13" s="148"/>
      <c r="AE13" s="148"/>
      <c r="AF13" s="148"/>
      <c r="AG13" s="148"/>
      <c r="AH13" s="148"/>
      <c r="AI13" s="148"/>
      <c r="AJ13" s="148"/>
      <c r="AK13" s="148"/>
      <c r="AL13" s="197">
        <f t="shared" si="0"/>
        <v>0</v>
      </c>
      <c r="AM13" s="198"/>
      <c r="AN13" s="148"/>
      <c r="AO13" s="148"/>
      <c r="AP13" s="148"/>
      <c r="AQ13" s="148"/>
      <c r="AR13" s="148"/>
      <c r="AS13" s="148"/>
      <c r="AT13" s="148"/>
      <c r="AU13" s="148"/>
      <c r="AV13" s="148"/>
      <c r="AW13" s="148"/>
      <c r="AX13" s="148"/>
      <c r="AY13" s="148"/>
      <c r="AZ13" s="197">
        <f t="shared" si="1"/>
        <v>0</v>
      </c>
      <c r="BA13" s="199">
        <f t="shared" si="2"/>
        <v>-23219000</v>
      </c>
      <c r="BB13" s="200"/>
      <c r="BC13" s="201">
        <f t="shared" si="3"/>
        <v>0</v>
      </c>
      <c r="BD13" s="202" t="str">
        <f>IF('Budget Opex Detail'!C13="","",IF(COUNTIFS('Activity Master Opex'!$B$4:$B$172,'Budget Opex Detail'!$C13)&gt;0,"","New Activity"))</f>
        <v/>
      </c>
      <c r="BE13" s="203"/>
      <c r="BF13" s="204"/>
      <c r="BG13" s="205"/>
      <c r="BH13" s="206"/>
      <c r="BI13" s="207"/>
      <c r="BJ13" s="207"/>
      <c r="BK13" s="208"/>
      <c r="BL13" s="153">
        <f t="shared" si="6"/>
        <v>0</v>
      </c>
      <c r="BM13" s="206"/>
      <c r="BN13" s="206"/>
      <c r="BO13" s="209">
        <f t="shared" si="4"/>
        <v>0</v>
      </c>
      <c r="BP13" s="210"/>
      <c r="BR13" s="212" t="str">
        <f>IF($H13="","",VLOOKUP($H13,'Master Data'!$B:$D,3,FALSE))</f>
        <v>Rental Expenses</v>
      </c>
      <c r="BS13" s="212" t="str">
        <f t="shared" si="7"/>
        <v>General Administrative</v>
      </c>
      <c r="BT13" s="212" t="str">
        <f>IF($H13="","",VLOOKUP(VALUE($H13),'Master Data'!B:I,8,FALSE))</f>
        <v>Rental</v>
      </c>
    </row>
    <row r="14" spans="1:72" s="211" customFormat="1" x14ac:dyDescent="0.35">
      <c r="A14" s="188" t="str">
        <f>IF(D14="","",Cover!$D$8)</f>
        <v>PD Office</v>
      </c>
      <c r="B14" s="138" t="str">
        <f>IF(D14="","",IFERROR(VLOOKUP(G14,'Master Data'!$E$59:$J$144,6,FALSE),0))</f>
        <v>Board of Directors</v>
      </c>
      <c r="C14" s="353" t="str">
        <f>IF(D14="","",_xlfn.XLOOKUP(D14,'Activity Master Opex'!C:C,'Activity Master Opex'!B:B,0,0,1))</f>
        <v>BD001-00014</v>
      </c>
      <c r="D14" s="190" t="s">
        <v>465</v>
      </c>
      <c r="E14" s="189" t="str">
        <f>IF(D14="","",IFERROR(VLOOKUP(D14,'Activity Master Opex'!$C:$M,6,FALSE),0))</f>
        <v>Voorijder for VIP Guest</v>
      </c>
      <c r="F14" s="191" t="str">
        <f>IF($C14="","",VLOOKUP($C14,'Activity Master Opex'!$B:$I,3,0))</f>
        <v>10301BD001</v>
      </c>
      <c r="G14" s="189" t="str">
        <f>IF($C14="","",VLOOKUP($F14,'Master Data'!$D$59:$E$147,2,FALSE))</f>
        <v>BOARD OF DIRECTORS</v>
      </c>
      <c r="H14" s="213">
        <f>IF($C14="","",VLOOKUP($C14,'Activity Master Opex'!$B:$I,5,0))</f>
        <v>62000020</v>
      </c>
      <c r="I14" s="188" t="str">
        <f>IFERROR(VLOOKUP(H14,'Activity Master Opex'!$F:$G,2,FALSE),"")</f>
        <v>Ent. Exp - Donation and Social Contribution</v>
      </c>
      <c r="J14" s="193">
        <f>3612*15500</f>
        <v>55986000</v>
      </c>
      <c r="K14" s="193">
        <v>0</v>
      </c>
      <c r="L14" s="194"/>
      <c r="M14" s="194"/>
      <c r="N14" s="194"/>
      <c r="O14" s="194"/>
      <c r="P14" s="194"/>
      <c r="Q14" s="194"/>
      <c r="R14" s="194"/>
      <c r="S14" s="194"/>
      <c r="T14" s="194"/>
      <c r="U14" s="194"/>
      <c r="V14" s="194"/>
      <c r="W14" s="194"/>
      <c r="X14" s="195">
        <f t="shared" si="9"/>
        <v>0</v>
      </c>
      <c r="Y14" s="196"/>
      <c r="Z14" s="148"/>
      <c r="AA14" s="148"/>
      <c r="AB14" s="148"/>
      <c r="AC14" s="148"/>
      <c r="AD14" s="148"/>
      <c r="AE14" s="148"/>
      <c r="AF14" s="148"/>
      <c r="AG14" s="148"/>
      <c r="AH14" s="148"/>
      <c r="AI14" s="148"/>
      <c r="AJ14" s="148"/>
      <c r="AK14" s="148"/>
      <c r="AL14" s="197">
        <f t="shared" si="0"/>
        <v>0</v>
      </c>
      <c r="AM14" s="198"/>
      <c r="AN14" s="148"/>
      <c r="AO14" s="148"/>
      <c r="AP14" s="148"/>
      <c r="AQ14" s="148"/>
      <c r="AR14" s="148"/>
      <c r="AS14" s="148"/>
      <c r="AT14" s="148"/>
      <c r="AU14" s="148"/>
      <c r="AV14" s="148"/>
      <c r="AW14" s="148"/>
      <c r="AX14" s="148"/>
      <c r="AY14" s="148"/>
      <c r="AZ14" s="197">
        <f t="shared" si="1"/>
        <v>0</v>
      </c>
      <c r="BA14" s="199">
        <f t="shared" si="2"/>
        <v>-55986000</v>
      </c>
      <c r="BB14" s="200"/>
      <c r="BC14" s="201">
        <f t="shared" si="3"/>
        <v>0</v>
      </c>
      <c r="BD14" s="202" t="str">
        <f>IF('Budget Opex Detail'!C14="","",IF(COUNTIFS('Activity Master Opex'!$B$4:$B$172,'Budget Opex Detail'!$C14)&gt;0,"","New Activity"))</f>
        <v/>
      </c>
      <c r="BE14" s="203"/>
      <c r="BF14" s="204"/>
      <c r="BG14" s="205"/>
      <c r="BH14" s="206"/>
      <c r="BI14" s="207"/>
      <c r="BJ14" s="207"/>
      <c r="BK14" s="208"/>
      <c r="BL14" s="153">
        <f t="shared" si="6"/>
        <v>0</v>
      </c>
      <c r="BM14" s="206"/>
      <c r="BN14" s="206"/>
      <c r="BO14" s="209">
        <f t="shared" si="4"/>
        <v>0</v>
      </c>
      <c r="BP14" s="210"/>
      <c r="BR14" s="212" t="str">
        <f>IF($H14="","",VLOOKUP($H14,'Master Data'!$B:$D,3,FALSE))</f>
        <v>Entertainment Expenses</v>
      </c>
      <c r="BS14" s="212" t="str">
        <f t="shared" si="7"/>
        <v>General Administrative</v>
      </c>
      <c r="BT14" s="212" t="str">
        <f>IF($H14="","",VLOOKUP(VALUE($H14),'Master Data'!B:I,8,FALSE))</f>
        <v xml:space="preserve">Entertainment </v>
      </c>
    </row>
    <row r="15" spans="1:72" s="211" customFormat="1" x14ac:dyDescent="0.35">
      <c r="A15" s="188" t="str">
        <f>IF(D15="","",Cover!$D$8)</f>
        <v>PD Office</v>
      </c>
      <c r="B15" s="138" t="str">
        <f>IF(D15="","",IFERROR(VLOOKUP(G15,'Master Data'!$E$59:$J$144,6,FALSE),0))</f>
        <v>Board of Directors</v>
      </c>
      <c r="C15" s="353" t="str">
        <f>IF(D15="","",_xlfn.XLOOKUP(D15,'Activity Master Opex'!C:C,'Activity Master Opex'!B:B,0,0,1))</f>
        <v>BD001-00021</v>
      </c>
      <c r="D15" s="190" t="s">
        <v>550</v>
      </c>
      <c r="E15" s="189" t="str">
        <f>IF(D15="","",IFERROR(VLOOKUP(D15,'Activity Master Opex'!$C:$M,6,FALSE),0))</f>
        <v>Gen. Transp. Others</v>
      </c>
      <c r="F15" s="191" t="str">
        <f>IF($C15="","",VLOOKUP($C15,'Activity Master Opex'!$B:$I,3,0))</f>
        <v>10301BD001</v>
      </c>
      <c r="G15" s="189" t="str">
        <f>IF($C15="","",VLOOKUP($F15,'Master Data'!$D$59:$E$147,2,FALSE))</f>
        <v>BOARD OF DIRECTORS</v>
      </c>
      <c r="H15" s="192">
        <f>IF($C15="","",VLOOKUP($C15,'Activity Master Opex'!$B:$I,5,0))</f>
        <v>62400040</v>
      </c>
      <c r="I15" s="188" t="str">
        <f>IFERROR(VLOOKUP(H15,'Activity Master Opex'!$F:$G,2,FALSE),"")</f>
        <v>Gen. Transp. Others</v>
      </c>
      <c r="J15" s="193">
        <f>3096*15500</f>
        <v>47988000</v>
      </c>
      <c r="K15" s="193">
        <v>15000000</v>
      </c>
      <c r="L15" s="194"/>
      <c r="M15" s="194"/>
      <c r="N15" s="194"/>
      <c r="O15" s="194"/>
      <c r="P15" s="194"/>
      <c r="Q15" s="194"/>
      <c r="R15" s="194"/>
      <c r="S15" s="194"/>
      <c r="T15" s="194"/>
      <c r="U15" s="194"/>
      <c r="V15" s="194"/>
      <c r="W15" s="194"/>
      <c r="X15" s="195">
        <f t="shared" si="9"/>
        <v>0</v>
      </c>
      <c r="Y15" s="196"/>
      <c r="Z15" s="148"/>
      <c r="AA15" s="148"/>
      <c r="AB15" s="148"/>
      <c r="AC15" s="148"/>
      <c r="AD15" s="148"/>
      <c r="AE15" s="148"/>
      <c r="AF15" s="148"/>
      <c r="AG15" s="148"/>
      <c r="AH15" s="148"/>
      <c r="AI15" s="148"/>
      <c r="AJ15" s="148"/>
      <c r="AK15" s="148"/>
      <c r="AL15" s="197">
        <f t="shared" si="0"/>
        <v>0</v>
      </c>
      <c r="AM15" s="198"/>
      <c r="AN15" s="148"/>
      <c r="AO15" s="148"/>
      <c r="AP15" s="148"/>
      <c r="AQ15" s="148"/>
      <c r="AR15" s="148"/>
      <c r="AS15" s="148"/>
      <c r="AT15" s="148"/>
      <c r="AU15" s="148"/>
      <c r="AV15" s="148"/>
      <c r="AW15" s="148"/>
      <c r="AX15" s="148"/>
      <c r="AY15" s="148"/>
      <c r="AZ15" s="197">
        <f t="shared" si="1"/>
        <v>0</v>
      </c>
      <c r="BA15" s="199">
        <f t="shared" si="2"/>
        <v>-47988000</v>
      </c>
      <c r="BB15" s="200"/>
      <c r="BC15" s="201">
        <f t="shared" si="3"/>
        <v>0</v>
      </c>
      <c r="BD15" s="202" t="str">
        <f>IF('Budget Opex Detail'!C15="","",IF(COUNTIFS('Activity Master Opex'!$B$4:$B$172,'Budget Opex Detail'!$C15)&gt;0,"","New Activity"))</f>
        <v/>
      </c>
      <c r="BE15" s="203"/>
      <c r="BF15" s="204"/>
      <c r="BG15" s="205"/>
      <c r="BH15" s="206"/>
      <c r="BI15" s="207"/>
      <c r="BJ15" s="207"/>
      <c r="BK15" s="208"/>
      <c r="BL15" s="153">
        <f t="shared" si="6"/>
        <v>0</v>
      </c>
      <c r="BM15" s="206"/>
      <c r="BN15" s="206"/>
      <c r="BO15" s="209">
        <f t="shared" si="4"/>
        <v>0</v>
      </c>
      <c r="BP15" s="210"/>
      <c r="BR15" s="212" t="str">
        <f>IF($H15="","",VLOOKUP($H15,'Master Data'!$B:$D,3,FALSE))</f>
        <v>General Transportation Exp</v>
      </c>
      <c r="BS15" s="212" t="str">
        <f t="shared" si="7"/>
        <v>General Administrative</v>
      </c>
      <c r="BT15" s="212" t="str">
        <f>IF($H15="","",VLOOKUP(VALUE($H15),'Master Data'!B:I,8,FALSE))</f>
        <v>General transportation</v>
      </c>
    </row>
    <row r="16" spans="1:72" s="211" customFormat="1" x14ac:dyDescent="0.35">
      <c r="A16" s="188" t="str">
        <f>IF(D16="","",Cover!$D$8)</f>
        <v>PD Office</v>
      </c>
      <c r="B16" s="138" t="str">
        <f>IF(D16="","",IFERROR(VLOOKUP(G16,'Master Data'!$E$59:$J$144,6,FALSE),0))</f>
        <v>Board of Directors</v>
      </c>
      <c r="C16" s="353" t="str">
        <f>IF(D16="","",_xlfn.XLOOKUP(D16,'Activity Master Opex'!C:C,'Activity Master Opex'!B:B,0,0,1))</f>
        <v>BD001-00022</v>
      </c>
      <c r="D16" s="190" t="s">
        <v>551</v>
      </c>
      <c r="E16" s="189" t="str">
        <f>IF(D16="","",IFERROR(VLOOKUP(D16,'Activity Master Opex'!$C:$M,6,FALSE),0))</f>
        <v>PF - Other Professional Fees</v>
      </c>
      <c r="F16" s="191" t="str">
        <f>IF($C16="","",VLOOKUP($C16,'Activity Master Opex'!$B:$I,3,0))</f>
        <v>10301BD001</v>
      </c>
      <c r="G16" s="189" t="str">
        <f>IF($C16="","",VLOOKUP($F16,'Master Data'!$D$59:$E$147,2,FALSE))</f>
        <v>BOARD OF DIRECTORS</v>
      </c>
      <c r="H16" s="192">
        <f>IF($C16="","",VLOOKUP($C16,'Activity Master Opex'!$B:$I,5,0))</f>
        <v>61900090</v>
      </c>
      <c r="I16" s="188" t="str">
        <f>IFERROR(VLOOKUP(H16,'Activity Master Opex'!$F:$G,2,FALSE),"")</f>
        <v>PF - Other Professional Fees</v>
      </c>
      <c r="J16" s="193">
        <f>100008*15500</f>
        <v>1550124000</v>
      </c>
      <c r="K16" s="193">
        <v>962950230</v>
      </c>
      <c r="L16" s="194"/>
      <c r="M16" s="194"/>
      <c r="N16" s="194"/>
      <c r="O16" s="194"/>
      <c r="P16" s="194"/>
      <c r="Q16" s="194"/>
      <c r="R16" s="194"/>
      <c r="S16" s="194"/>
      <c r="T16" s="194"/>
      <c r="U16" s="194"/>
      <c r="V16" s="194"/>
      <c r="W16" s="194"/>
      <c r="X16" s="195">
        <f t="shared" si="9"/>
        <v>0</v>
      </c>
      <c r="Y16" s="196"/>
      <c r="Z16" s="148"/>
      <c r="AA16" s="148"/>
      <c r="AB16" s="148"/>
      <c r="AC16" s="148"/>
      <c r="AD16" s="148"/>
      <c r="AE16" s="148"/>
      <c r="AF16" s="148"/>
      <c r="AG16" s="148"/>
      <c r="AH16" s="148"/>
      <c r="AI16" s="148"/>
      <c r="AJ16" s="148"/>
      <c r="AK16" s="148"/>
      <c r="AL16" s="197">
        <f t="shared" si="0"/>
        <v>0</v>
      </c>
      <c r="AM16" s="198"/>
      <c r="AN16" s="148"/>
      <c r="AO16" s="148"/>
      <c r="AP16" s="148"/>
      <c r="AQ16" s="148"/>
      <c r="AR16" s="148"/>
      <c r="AS16" s="148"/>
      <c r="AT16" s="148"/>
      <c r="AU16" s="148"/>
      <c r="AV16" s="148"/>
      <c r="AW16" s="148"/>
      <c r="AX16" s="148"/>
      <c r="AY16" s="148"/>
      <c r="AZ16" s="197">
        <f t="shared" si="1"/>
        <v>0</v>
      </c>
      <c r="BA16" s="199">
        <f t="shared" si="2"/>
        <v>-1550124000</v>
      </c>
      <c r="BB16" s="200"/>
      <c r="BC16" s="201">
        <f t="shared" si="3"/>
        <v>0</v>
      </c>
      <c r="BD16" s="202" t="str">
        <f>IF('Budget Opex Detail'!C16="","",IF(COUNTIFS('Activity Master Opex'!$B$4:$B$172,'Budget Opex Detail'!$C16)&gt;0,"","New Activity"))</f>
        <v/>
      </c>
      <c r="BE16" s="203"/>
      <c r="BF16" s="204"/>
      <c r="BG16" s="205"/>
      <c r="BH16" s="206"/>
      <c r="BI16" s="207"/>
      <c r="BJ16" s="207"/>
      <c r="BK16" s="208"/>
      <c r="BL16" s="153">
        <f t="shared" si="6"/>
        <v>0</v>
      </c>
      <c r="BM16" s="206"/>
      <c r="BN16" s="206"/>
      <c r="BO16" s="209">
        <f t="shared" si="4"/>
        <v>0</v>
      </c>
      <c r="BP16" s="210"/>
      <c r="BR16" s="212" t="str">
        <f>IF($H16="","",VLOOKUP($H16,'Master Data'!$B:$D,3,FALSE))</f>
        <v>Professional Fees</v>
      </c>
      <c r="BS16" s="212" t="str">
        <f t="shared" si="7"/>
        <v>General Administrative</v>
      </c>
      <c r="BT16" s="212" t="str">
        <f>IF($H16="","",VLOOKUP(VALUE($H16),'Master Data'!B:I,8,FALSE))</f>
        <v>Professional fees</v>
      </c>
    </row>
    <row r="17" spans="1:72" s="211" customFormat="1" x14ac:dyDescent="0.35">
      <c r="A17" s="188" t="str">
        <f>IF(D17="","",Cover!$D$8)</f>
        <v>PD Office</v>
      </c>
      <c r="B17" s="138" t="str">
        <f>IF(D17="","",IFERROR(VLOOKUP(G17,'Master Data'!$E$59:$J$144,6,FALSE),0))</f>
        <v>Board of Directors</v>
      </c>
      <c r="C17" s="353" t="str">
        <f>IF(D17="","",_xlfn.XLOOKUP(D17,'Activity Master Opex'!C:C,'Activity Master Opex'!B:B,0,0,1))</f>
        <v>BD001-00023</v>
      </c>
      <c r="D17" s="190" t="s">
        <v>552</v>
      </c>
      <c r="E17" s="189" t="str">
        <f>IF(D17="","",IFERROR(VLOOKUP(D17,'Activity Master Opex'!$C:$M,6,FALSE),0))</f>
        <v>Office Equipment Expenses</v>
      </c>
      <c r="F17" s="191" t="str">
        <f>IF($C17="","",VLOOKUP($C17,'Activity Master Opex'!$B:$I,3,0))</f>
        <v>10301BD001</v>
      </c>
      <c r="G17" s="189" t="str">
        <f>IF($C17="","",VLOOKUP($F17,'Master Data'!$D$59:$E$147,2,FALSE))</f>
        <v>BOARD OF DIRECTORS</v>
      </c>
      <c r="H17" s="192">
        <f>IF($C17="","",VLOOKUP($C17,'Activity Master Opex'!$B:$I,5,0))</f>
        <v>62600030</v>
      </c>
      <c r="I17" s="188" t="str">
        <f>IFERROR(VLOOKUP(H17,'Activity Master Opex'!$F:$G,2,FALSE),"")</f>
        <v>Office Equipment Expenses</v>
      </c>
      <c r="J17" s="193">
        <f>7161.29032258064*15500</f>
        <v>110999999.99999993</v>
      </c>
      <c r="K17" s="193">
        <v>0</v>
      </c>
      <c r="L17" s="194"/>
      <c r="M17" s="194"/>
      <c r="N17" s="194"/>
      <c r="O17" s="194"/>
      <c r="P17" s="194"/>
      <c r="Q17" s="194"/>
      <c r="R17" s="194"/>
      <c r="S17" s="194"/>
      <c r="T17" s="194"/>
      <c r="U17" s="194"/>
      <c r="V17" s="194"/>
      <c r="W17" s="194"/>
      <c r="X17" s="195">
        <f t="shared" si="9"/>
        <v>0</v>
      </c>
      <c r="Y17" s="196"/>
      <c r="Z17" s="148"/>
      <c r="AA17" s="148"/>
      <c r="AB17" s="148"/>
      <c r="AC17" s="148"/>
      <c r="AD17" s="148"/>
      <c r="AE17" s="148"/>
      <c r="AF17" s="148"/>
      <c r="AG17" s="148"/>
      <c r="AH17" s="148"/>
      <c r="AI17" s="148"/>
      <c r="AJ17" s="148"/>
      <c r="AK17" s="148"/>
      <c r="AL17" s="197">
        <f t="shared" si="0"/>
        <v>0</v>
      </c>
      <c r="AM17" s="198"/>
      <c r="AN17" s="148"/>
      <c r="AO17" s="148"/>
      <c r="AP17" s="148"/>
      <c r="AQ17" s="148"/>
      <c r="AR17" s="148"/>
      <c r="AS17" s="148"/>
      <c r="AT17" s="148"/>
      <c r="AU17" s="148"/>
      <c r="AV17" s="148"/>
      <c r="AW17" s="148"/>
      <c r="AX17" s="148"/>
      <c r="AY17" s="148"/>
      <c r="AZ17" s="197">
        <f t="shared" si="1"/>
        <v>0</v>
      </c>
      <c r="BA17" s="199">
        <f t="shared" si="2"/>
        <v>-110999999.99999993</v>
      </c>
      <c r="BB17" s="200"/>
      <c r="BC17" s="201">
        <f t="shared" si="3"/>
        <v>0</v>
      </c>
      <c r="BD17" s="202" t="str">
        <f>IF('Budget Opex Detail'!C17="","",IF(COUNTIFS('Activity Master Opex'!$B$4:$B$172,'Budget Opex Detail'!$C17)&gt;0,"","New Activity"))</f>
        <v/>
      </c>
      <c r="BE17" s="203"/>
      <c r="BF17" s="204"/>
      <c r="BG17" s="205"/>
      <c r="BH17" s="206"/>
      <c r="BI17" s="207"/>
      <c r="BJ17" s="207"/>
      <c r="BK17" s="208"/>
      <c r="BL17" s="153">
        <f t="shared" si="6"/>
        <v>0</v>
      </c>
      <c r="BM17" s="206"/>
      <c r="BN17" s="206"/>
      <c r="BO17" s="209">
        <f t="shared" si="4"/>
        <v>0</v>
      </c>
      <c r="BP17" s="210"/>
      <c r="BR17" s="212" t="str">
        <f>IF($H17="","",VLOOKUP($H17,'Master Data'!$B:$D,3,FALSE))</f>
        <v>Equipment Expenses</v>
      </c>
      <c r="BS17" s="212" t="str">
        <f t="shared" si="7"/>
        <v>General Administrative</v>
      </c>
      <c r="BT17" s="212" t="str">
        <f>IF($H17="","",VLOOKUP(VALUE($H17),'Master Data'!B:I,8,FALSE))</f>
        <v>Equipment Expenses</v>
      </c>
    </row>
    <row r="18" spans="1:72" s="211" customFormat="1" x14ac:dyDescent="0.35">
      <c r="A18" s="188" t="str">
        <f>IF(D18="","",Cover!$D$8)</f>
        <v>PD Office</v>
      </c>
      <c r="B18" s="138" t="str">
        <f>IF(D18="","",IFERROR(VLOOKUP(G18,'Master Data'!$E$59:$J$144,6,FALSE),0))</f>
        <v>Board of Directors</v>
      </c>
      <c r="C18" s="353" t="str">
        <f>IF(D18="","",_xlfn.XLOOKUP(D18,'Activity Master Opex'!C:C,'Activity Master Opex'!B:B,0,0,1))</f>
        <v>BD001-00024</v>
      </c>
      <c r="D18" s="190" t="s">
        <v>553</v>
      </c>
      <c r="E18" s="189" t="str">
        <f>IF(D18="","",IFERROR(VLOOKUP(D18,'Activity Master Opex'!$C:$M,6,FALSE),0))</f>
        <v>Subscriptions and Periodicals</v>
      </c>
      <c r="F18" s="191" t="str">
        <f>IF($C18="","",VLOOKUP($C18,'Activity Master Opex'!$B:$I,3,0))</f>
        <v>10301BD001</v>
      </c>
      <c r="G18" s="189" t="str">
        <f>IF($C18="","",VLOOKUP($F18,'Master Data'!$D$59:$E$147,2,FALSE))</f>
        <v>BOARD OF DIRECTORS</v>
      </c>
      <c r="H18" s="192">
        <f>IF($C18="","",VLOOKUP($C18,'Activity Master Opex'!$B:$I,5,0))</f>
        <v>62900020</v>
      </c>
      <c r="I18" s="188" t="str">
        <f>IFERROR(VLOOKUP(H18,'Activity Master Opex'!$F:$G,2,FALSE),"")</f>
        <v>Subscriptions and Periodicals</v>
      </c>
      <c r="J18" s="193">
        <f>486*15500</f>
        <v>7533000</v>
      </c>
      <c r="K18" s="193">
        <v>3400000</v>
      </c>
      <c r="L18" s="194"/>
      <c r="M18" s="194"/>
      <c r="N18" s="194"/>
      <c r="O18" s="194"/>
      <c r="P18" s="194"/>
      <c r="Q18" s="194"/>
      <c r="R18" s="194"/>
      <c r="S18" s="194"/>
      <c r="T18" s="194"/>
      <c r="U18" s="194"/>
      <c r="V18" s="194"/>
      <c r="W18" s="194"/>
      <c r="X18" s="195">
        <f t="shared" si="9"/>
        <v>0</v>
      </c>
      <c r="Y18" s="196"/>
      <c r="Z18" s="148"/>
      <c r="AA18" s="148"/>
      <c r="AB18" s="148"/>
      <c r="AC18" s="148"/>
      <c r="AD18" s="148"/>
      <c r="AE18" s="148"/>
      <c r="AF18" s="148"/>
      <c r="AG18" s="148"/>
      <c r="AH18" s="148"/>
      <c r="AI18" s="148"/>
      <c r="AJ18" s="148"/>
      <c r="AK18" s="148"/>
      <c r="AL18" s="197">
        <f t="shared" si="0"/>
        <v>0</v>
      </c>
      <c r="AM18" s="198"/>
      <c r="AN18" s="148"/>
      <c r="AO18" s="148"/>
      <c r="AP18" s="148"/>
      <c r="AQ18" s="148"/>
      <c r="AR18" s="148"/>
      <c r="AS18" s="148"/>
      <c r="AT18" s="148"/>
      <c r="AU18" s="148"/>
      <c r="AV18" s="148"/>
      <c r="AW18" s="148"/>
      <c r="AX18" s="148"/>
      <c r="AY18" s="148"/>
      <c r="AZ18" s="197">
        <f t="shared" si="1"/>
        <v>0</v>
      </c>
      <c r="BA18" s="199">
        <f t="shared" si="2"/>
        <v>-7533000</v>
      </c>
      <c r="BB18" s="200"/>
      <c r="BC18" s="201">
        <f t="shared" si="3"/>
        <v>0</v>
      </c>
      <c r="BD18" s="202" t="str">
        <f>IF('Budget Opex Detail'!C18="","",IF(COUNTIFS('Activity Master Opex'!$B$4:$B$172,'Budget Opex Detail'!$C18)&gt;0,"","New Activity"))</f>
        <v/>
      </c>
      <c r="BE18" s="203"/>
      <c r="BF18" s="204"/>
      <c r="BG18" s="205"/>
      <c r="BH18" s="206"/>
      <c r="BI18" s="207"/>
      <c r="BJ18" s="207"/>
      <c r="BK18" s="208"/>
      <c r="BL18" s="153">
        <f t="shared" si="6"/>
        <v>0</v>
      </c>
      <c r="BM18" s="206"/>
      <c r="BN18" s="206"/>
      <c r="BO18" s="209">
        <f t="shared" si="4"/>
        <v>0</v>
      </c>
      <c r="BP18" s="210"/>
      <c r="BR18" s="212" t="str">
        <f>IF($H18="","",VLOOKUP($H18,'Master Data'!$B:$D,3,FALSE))</f>
        <v>Membership &amp; Sponsorship</v>
      </c>
      <c r="BS18" s="212" t="str">
        <f t="shared" si="7"/>
        <v>General Administrative</v>
      </c>
      <c r="BT18" s="212" t="str">
        <f>IF($H18="","",VLOOKUP(VALUE($H18),'Master Data'!B:I,8,FALSE))</f>
        <v>Subscriptions and Periodicals</v>
      </c>
    </row>
    <row r="19" spans="1:72" s="211" customFormat="1" x14ac:dyDescent="0.35">
      <c r="A19" s="188" t="str">
        <f>IF(D19="","",Cover!$D$8)</f>
        <v>PD Office</v>
      </c>
      <c r="B19" s="138" t="str">
        <f>IF(D19="","",IFERROR(VLOOKUP(G19,'Master Data'!$E$59:$J$144,6,FALSE),0))</f>
        <v>Board of Directors</v>
      </c>
      <c r="C19" s="353" t="str">
        <f>IF(D19="","",_xlfn.XLOOKUP(D19,'Activity Master Opex'!C:C,'Activity Master Opex'!B:B,0,0,1))</f>
        <v>BD001-00025</v>
      </c>
      <c r="D19" s="190" t="s">
        <v>554</v>
      </c>
      <c r="E19" s="189" t="str">
        <f>IF(D19="","",IFERROR(VLOOKUP(D19,'Activity Master Opex'!$C:$M,6,FALSE),0))</f>
        <v>Steel  Laboratorium Expenses</v>
      </c>
      <c r="F19" s="191" t="str">
        <f>IF($C19="","",VLOOKUP($C19,'Activity Master Opex'!$B:$I,3,0))</f>
        <v>10301BD001</v>
      </c>
      <c r="G19" s="189" t="str">
        <f>IF($C19="","",VLOOKUP($F19,'Master Data'!$D$59:$E$147,2,FALSE))</f>
        <v>BOARD OF DIRECTORS</v>
      </c>
      <c r="H19" s="192">
        <f>IF($C19="","",VLOOKUP($C19,'Activity Master Opex'!$B:$I,5,0))</f>
        <v>61100010</v>
      </c>
      <c r="I19" s="188" t="str">
        <f>IFERROR(VLOOKUP(H19,'Activity Master Opex'!$F:$G,2,FALSE),"")</f>
        <v>Steel  Laboratorium Expenses</v>
      </c>
      <c r="J19" s="193">
        <f>6452*15500</f>
        <v>100006000</v>
      </c>
      <c r="K19" s="193">
        <v>0</v>
      </c>
      <c r="L19" s="194"/>
      <c r="M19" s="194"/>
      <c r="N19" s="194"/>
      <c r="O19" s="194"/>
      <c r="P19" s="194"/>
      <c r="Q19" s="194"/>
      <c r="R19" s="194"/>
      <c r="S19" s="194"/>
      <c r="T19" s="194"/>
      <c r="U19" s="194"/>
      <c r="V19" s="194"/>
      <c r="W19" s="194"/>
      <c r="X19" s="195">
        <f t="shared" si="9"/>
        <v>0</v>
      </c>
      <c r="Y19" s="196"/>
      <c r="Z19" s="148"/>
      <c r="AA19" s="148"/>
      <c r="AB19" s="148"/>
      <c r="AC19" s="148"/>
      <c r="AD19" s="148"/>
      <c r="AE19" s="148"/>
      <c r="AF19" s="148"/>
      <c r="AG19" s="148"/>
      <c r="AH19" s="148"/>
      <c r="AI19" s="148"/>
      <c r="AJ19" s="148"/>
      <c r="AK19" s="148"/>
      <c r="AL19" s="197">
        <f t="shared" si="0"/>
        <v>0</v>
      </c>
      <c r="AM19" s="198"/>
      <c r="AN19" s="148"/>
      <c r="AO19" s="148"/>
      <c r="AP19" s="148"/>
      <c r="AQ19" s="148"/>
      <c r="AR19" s="148"/>
      <c r="AS19" s="148"/>
      <c r="AT19" s="148"/>
      <c r="AU19" s="148"/>
      <c r="AV19" s="148"/>
      <c r="AW19" s="148"/>
      <c r="AX19" s="148"/>
      <c r="AY19" s="148"/>
      <c r="AZ19" s="197">
        <f t="shared" si="1"/>
        <v>0</v>
      </c>
      <c r="BA19" s="199">
        <f t="shared" si="2"/>
        <v>-100006000</v>
      </c>
      <c r="BB19" s="200"/>
      <c r="BC19" s="201">
        <f t="shared" si="3"/>
        <v>0</v>
      </c>
      <c r="BD19" s="202" t="str">
        <f>IF('Budget Opex Detail'!C19="","",IF(COUNTIFS('Activity Master Opex'!$B$4:$B$172,'Budget Opex Detail'!$C19)&gt;0,"","New Activity"))</f>
        <v/>
      </c>
      <c r="BE19" s="203"/>
      <c r="BF19" s="204"/>
      <c r="BG19" s="205"/>
      <c r="BH19" s="206"/>
      <c r="BI19" s="207"/>
      <c r="BJ19" s="207"/>
      <c r="BK19" s="208"/>
      <c r="BL19" s="153">
        <f t="shared" si="6"/>
        <v>0</v>
      </c>
      <c r="BM19" s="206"/>
      <c r="BN19" s="206"/>
      <c r="BO19" s="209">
        <f t="shared" si="4"/>
        <v>0</v>
      </c>
      <c r="BP19" s="210"/>
      <c r="BR19" s="212" t="str">
        <f>IF($H19="","",VLOOKUP($H19,'Master Data'!$B:$D,3,FALSE))</f>
        <v>Laboratory Cost</v>
      </c>
      <c r="BS19" s="212" t="str">
        <f t="shared" si="7"/>
        <v>General Administrative</v>
      </c>
      <c r="BT19" s="212" t="str">
        <f>IF($H19="","",VLOOKUP(VALUE($H19),'Master Data'!B:I,8,FALSE))</f>
        <v>Laboratory Cost</v>
      </c>
    </row>
    <row r="20" spans="1:72" s="211" customFormat="1" x14ac:dyDescent="0.35">
      <c r="A20" s="188" t="str">
        <f>IF(D20="","",Cover!$D$8)</f>
        <v>PD Office</v>
      </c>
      <c r="B20" s="138" t="str">
        <f>IF(D20="","",IFERROR(VLOOKUP(G20,'Master Data'!$E$59:$J$144,6,FALSE),0))</f>
        <v>Board of Directors</v>
      </c>
      <c r="C20" s="353" t="str">
        <f>IF(D20="","",_xlfn.XLOOKUP(D20,'Activity Master Opex'!C:C,'Activity Master Opex'!B:B,0,0,1))</f>
        <v>BD002-00001</v>
      </c>
      <c r="D20" s="190" t="s">
        <v>573</v>
      </c>
      <c r="E20" s="189" t="str">
        <f>IF(D20="","",IFERROR(VLOOKUP(D20,'Activity Master Opex'!$C:$M,6,FALSE),0))</f>
        <v>Gen. Transp. Travelling Expenses</v>
      </c>
      <c r="F20" s="191" t="str">
        <f>IF($C20="","",VLOOKUP($C20,'Activity Master Opex'!$B:$I,3,0))</f>
        <v>10301BD002</v>
      </c>
      <c r="G20" s="189" t="str">
        <f>IF($C20="","",VLOOKUP($F20,'Master Data'!$D$59:$E$147,2,FALSE))</f>
        <v>HEAD OF PRODUCTION</v>
      </c>
      <c r="H20" s="192">
        <f>IF($C20="","",VLOOKUP($C20,'Activity Master Opex'!$B:$I,5,0))</f>
        <v>62400030</v>
      </c>
      <c r="I20" s="188" t="str">
        <f>IFERROR(VLOOKUP(H20,'Activity Master Opex'!$F:$G,2,FALSE),"")</f>
        <v>Gen. Transp. Travelling Expenses</v>
      </c>
      <c r="J20" s="193">
        <f>5442.05161290323*15500</f>
        <v>84351800.000000075</v>
      </c>
      <c r="K20" s="193">
        <v>85189974</v>
      </c>
      <c r="L20" s="194"/>
      <c r="M20" s="194"/>
      <c r="N20" s="194"/>
      <c r="O20" s="194"/>
      <c r="P20" s="194"/>
      <c r="Q20" s="194"/>
      <c r="R20" s="194"/>
      <c r="S20" s="194"/>
      <c r="T20" s="194"/>
      <c r="U20" s="194"/>
      <c r="V20" s="194"/>
      <c r="W20" s="194"/>
      <c r="X20" s="195">
        <f t="shared" si="9"/>
        <v>0</v>
      </c>
      <c r="Y20" s="196"/>
      <c r="Z20" s="148"/>
      <c r="AA20" s="148"/>
      <c r="AB20" s="148"/>
      <c r="AC20" s="148"/>
      <c r="AD20" s="148"/>
      <c r="AE20" s="148"/>
      <c r="AF20" s="148"/>
      <c r="AG20" s="148"/>
      <c r="AH20" s="148"/>
      <c r="AI20" s="148"/>
      <c r="AJ20" s="148"/>
      <c r="AK20" s="148"/>
      <c r="AL20" s="197">
        <f t="shared" si="0"/>
        <v>0</v>
      </c>
      <c r="AM20" s="198"/>
      <c r="AN20" s="148"/>
      <c r="AO20" s="148"/>
      <c r="AP20" s="148"/>
      <c r="AQ20" s="148"/>
      <c r="AR20" s="148"/>
      <c r="AS20" s="148"/>
      <c r="AT20" s="148"/>
      <c r="AU20" s="148"/>
      <c r="AV20" s="148"/>
      <c r="AW20" s="148"/>
      <c r="AX20" s="148"/>
      <c r="AY20" s="148"/>
      <c r="AZ20" s="197">
        <f t="shared" si="1"/>
        <v>0</v>
      </c>
      <c r="BA20" s="199">
        <f t="shared" si="2"/>
        <v>-84351800.000000075</v>
      </c>
      <c r="BB20" s="200"/>
      <c r="BC20" s="201">
        <f t="shared" si="3"/>
        <v>0</v>
      </c>
      <c r="BD20" s="202" t="str">
        <f>IF('Budget Opex Detail'!C20="","",IF(COUNTIFS('Activity Master Opex'!$B$4:$B$172,'Budget Opex Detail'!$C20)&gt;0,"","New Activity"))</f>
        <v/>
      </c>
      <c r="BE20" s="203"/>
      <c r="BF20" s="204"/>
      <c r="BG20" s="205"/>
      <c r="BH20" s="206"/>
      <c r="BI20" s="207"/>
      <c r="BJ20" s="207"/>
      <c r="BK20" s="208"/>
      <c r="BL20" s="153">
        <f t="shared" si="6"/>
        <v>0</v>
      </c>
      <c r="BM20" s="206"/>
      <c r="BN20" s="206"/>
      <c r="BO20" s="209">
        <f t="shared" si="4"/>
        <v>0</v>
      </c>
      <c r="BP20" s="210"/>
      <c r="BR20" s="212" t="str">
        <f>IF($H20="","",VLOOKUP($H20,'Master Data'!$B:$D,3,FALSE))</f>
        <v>General Transportation Exp</v>
      </c>
      <c r="BS20" s="212" t="str">
        <f t="shared" si="7"/>
        <v>General Administrative</v>
      </c>
      <c r="BT20" s="212" t="str">
        <f>IF($H20="","",VLOOKUP(VALUE($H20),'Master Data'!B:I,8,FALSE))</f>
        <v>General transportation</v>
      </c>
    </row>
    <row r="21" spans="1:72" s="211" customFormat="1" x14ac:dyDescent="0.35">
      <c r="A21" s="188" t="str">
        <f>IF(D21="","",Cover!$D$8)</f>
        <v>PD Office</v>
      </c>
      <c r="B21" s="138" t="str">
        <f>IF(D21="","",IFERROR(VLOOKUP(G21,'Master Data'!$E$59:$J$144,6,FALSE),0))</f>
        <v>Corporate Communication</v>
      </c>
      <c r="C21" s="353" t="str">
        <f>IF(D21="","",_xlfn.XLOOKUP(D21,'Activity Master Opex'!C:C,'Activity Master Opex'!B:B,0,0,1))</f>
        <v>PR001-00001</v>
      </c>
      <c r="D21" s="190" t="s">
        <v>625</v>
      </c>
      <c r="E21" s="189" t="str">
        <f>IF(D21="","",IFERROR(VLOOKUP(D21,'Activity Master Opex'!$C:$M,6,FALSE),0))</f>
        <v>Social media management</v>
      </c>
      <c r="F21" s="191" t="str">
        <f>IF($C21="","",VLOOKUP($C21,'Activity Master Opex'!$B:$I,3,0))</f>
        <v>10301PR001</v>
      </c>
      <c r="G21" s="189" t="str">
        <f>IF($C21="","",VLOOKUP($F21,'Master Data'!$D$59:$E$147,2,FALSE))</f>
        <v>WEBSITE MASTER</v>
      </c>
      <c r="H21" s="192">
        <f>IF($C21="","",VLOOKUP($C21,'Activity Master Opex'!$B:$I,5,0))</f>
        <v>61400010</v>
      </c>
      <c r="I21" s="188" t="str">
        <f>IFERROR(VLOOKUP(H21,'Activity Master Opex'!$F:$G,2,FALSE),"")</f>
        <v>AE - Advertising and Promotion Expenses</v>
      </c>
      <c r="J21" s="193">
        <f>23220*15500</f>
        <v>359910000</v>
      </c>
      <c r="K21" s="193">
        <v>133200000</v>
      </c>
      <c r="L21" s="194"/>
      <c r="M21" s="194"/>
      <c r="N21" s="194"/>
      <c r="O21" s="194"/>
      <c r="P21" s="194"/>
      <c r="Q21" s="194"/>
      <c r="R21" s="194"/>
      <c r="S21" s="194"/>
      <c r="T21" s="194"/>
      <c r="U21" s="194"/>
      <c r="V21" s="194"/>
      <c r="W21" s="194"/>
      <c r="X21" s="195">
        <f t="shared" si="9"/>
        <v>0</v>
      </c>
      <c r="Y21" s="196"/>
      <c r="Z21" s="148"/>
      <c r="AA21" s="148"/>
      <c r="AB21" s="148"/>
      <c r="AC21" s="148"/>
      <c r="AD21" s="148"/>
      <c r="AE21" s="148"/>
      <c r="AF21" s="148"/>
      <c r="AG21" s="148"/>
      <c r="AH21" s="148"/>
      <c r="AI21" s="148"/>
      <c r="AJ21" s="148"/>
      <c r="AK21" s="148"/>
      <c r="AL21" s="197">
        <f t="shared" si="0"/>
        <v>0</v>
      </c>
      <c r="AM21" s="198"/>
      <c r="AN21" s="148"/>
      <c r="AO21" s="148"/>
      <c r="AP21" s="148"/>
      <c r="AQ21" s="148"/>
      <c r="AR21" s="148"/>
      <c r="AS21" s="148"/>
      <c r="AT21" s="148"/>
      <c r="AU21" s="148"/>
      <c r="AV21" s="148"/>
      <c r="AW21" s="148"/>
      <c r="AX21" s="148"/>
      <c r="AY21" s="148"/>
      <c r="AZ21" s="197">
        <f t="shared" si="1"/>
        <v>0</v>
      </c>
      <c r="BA21" s="199">
        <f t="shared" si="2"/>
        <v>-359910000</v>
      </c>
      <c r="BB21" s="200"/>
      <c r="BC21" s="201">
        <f t="shared" si="3"/>
        <v>0</v>
      </c>
      <c r="BD21" s="202" t="str">
        <f>IF('Budget Opex Detail'!C21="","",IF(COUNTIFS('Activity Master Opex'!$B$4:$B$172,'Budget Opex Detail'!$C21)&gt;0,"","New Activity"))</f>
        <v/>
      </c>
      <c r="BE21" s="203"/>
      <c r="BF21" s="204"/>
      <c r="BG21" s="205"/>
      <c r="BH21" s="206"/>
      <c r="BI21" s="207"/>
      <c r="BJ21" s="207"/>
      <c r="BK21" s="208"/>
      <c r="BL21" s="153">
        <f t="shared" si="6"/>
        <v>0</v>
      </c>
      <c r="BM21" s="206"/>
      <c r="BN21" s="206"/>
      <c r="BO21" s="209">
        <f t="shared" si="4"/>
        <v>0</v>
      </c>
      <c r="BP21" s="210"/>
      <c r="BR21" s="212" t="str">
        <f>IF($H21="","",VLOOKUP($H21,'Master Data'!$B:$D,3,FALSE))</f>
        <v>Advertising Expenses</v>
      </c>
      <c r="BS21" s="212" t="str">
        <f t="shared" si="7"/>
        <v>General Administrative</v>
      </c>
      <c r="BT21" s="212" t="str">
        <f>IF($H21="","",VLOOKUP(VALUE($H21),'Master Data'!B:I,8,FALSE))</f>
        <v>Advertising</v>
      </c>
    </row>
    <row r="22" spans="1:72" s="211" customFormat="1" x14ac:dyDescent="0.35">
      <c r="A22" s="188" t="str">
        <f>IF(D22="","",Cover!$D$8)</f>
        <v>PD Office</v>
      </c>
      <c r="B22" s="138" t="str">
        <f>IF(D22="","",IFERROR(VLOOKUP(G22,'Master Data'!$E$59:$J$144,6,FALSE),0))</f>
        <v>Corporate Communication</v>
      </c>
      <c r="C22" s="353" t="str">
        <f>IF(D22="","",_xlfn.XLOOKUP(D22,'Activity Master Opex'!C:C,'Activity Master Opex'!B:B,0,0,1))</f>
        <v>PR002-00001</v>
      </c>
      <c r="D22" s="190" t="s">
        <v>626</v>
      </c>
      <c r="E22" s="189" t="str">
        <f>IF(D22="","",IFERROR(VLOOKUP(D22,'Activity Master Opex'!$C:$M,6,FALSE),0))</f>
        <v>Company profile (video &amp; book), photo session</v>
      </c>
      <c r="F22" s="191" t="str">
        <f>IF($C22="","",VLOOKUP($C22,'Activity Master Opex'!$B:$I,3,0))</f>
        <v>10301PR002</v>
      </c>
      <c r="G22" s="189" t="str">
        <f>IF($C22="","",VLOOKUP($F22,'Master Data'!$D$59:$E$147,2,FALSE))</f>
        <v>MEDIA REL/PRESS CONF</v>
      </c>
      <c r="H22" s="192">
        <f>IF($C22="","",VLOOKUP($C22,'Activity Master Opex'!$B:$I,5,0))</f>
        <v>61400010</v>
      </c>
      <c r="I22" s="188" t="str">
        <f>IFERROR(VLOOKUP(H22,'Activity Master Opex'!$F:$G,2,FALSE),"")</f>
        <v>AE - Advertising and Promotion Expenses</v>
      </c>
      <c r="J22" s="193">
        <f>49613*15500</f>
        <v>769001500</v>
      </c>
      <c r="K22" s="193">
        <v>0</v>
      </c>
      <c r="L22" s="194"/>
      <c r="M22" s="194"/>
      <c r="N22" s="194"/>
      <c r="O22" s="194"/>
      <c r="P22" s="194"/>
      <c r="Q22" s="194"/>
      <c r="R22" s="194"/>
      <c r="S22" s="194"/>
      <c r="T22" s="194"/>
      <c r="U22" s="194"/>
      <c r="V22" s="194"/>
      <c r="W22" s="194"/>
      <c r="X22" s="195">
        <f t="shared" si="9"/>
        <v>0</v>
      </c>
      <c r="Y22" s="196"/>
      <c r="Z22" s="148"/>
      <c r="AA22" s="148"/>
      <c r="AB22" s="148"/>
      <c r="AC22" s="148"/>
      <c r="AD22" s="148"/>
      <c r="AE22" s="148"/>
      <c r="AF22" s="148"/>
      <c r="AG22" s="148"/>
      <c r="AH22" s="148"/>
      <c r="AI22" s="148"/>
      <c r="AJ22" s="148"/>
      <c r="AK22" s="148"/>
      <c r="AL22" s="197">
        <f t="shared" si="0"/>
        <v>0</v>
      </c>
      <c r="AM22" s="198"/>
      <c r="AN22" s="148"/>
      <c r="AO22" s="148"/>
      <c r="AP22" s="148"/>
      <c r="AQ22" s="148"/>
      <c r="AR22" s="148"/>
      <c r="AS22" s="148"/>
      <c r="AT22" s="148"/>
      <c r="AU22" s="148"/>
      <c r="AV22" s="148"/>
      <c r="AW22" s="148"/>
      <c r="AX22" s="148"/>
      <c r="AY22" s="148"/>
      <c r="AZ22" s="197">
        <f t="shared" si="1"/>
        <v>0</v>
      </c>
      <c r="BA22" s="199">
        <f t="shared" si="2"/>
        <v>-769001500</v>
      </c>
      <c r="BB22" s="200"/>
      <c r="BC22" s="201">
        <f t="shared" si="3"/>
        <v>0</v>
      </c>
      <c r="BD22" s="202" t="str">
        <f>IF('Budget Opex Detail'!C22="","",IF(COUNTIFS('Activity Master Opex'!$B$4:$B$172,'Budget Opex Detail'!$C22)&gt;0,"","New Activity"))</f>
        <v/>
      </c>
      <c r="BE22" s="203"/>
      <c r="BF22" s="204"/>
      <c r="BG22" s="205"/>
      <c r="BH22" s="206"/>
      <c r="BI22" s="207"/>
      <c r="BJ22" s="207"/>
      <c r="BK22" s="208"/>
      <c r="BL22" s="153">
        <f t="shared" si="6"/>
        <v>0</v>
      </c>
      <c r="BM22" s="206"/>
      <c r="BN22" s="206"/>
      <c r="BO22" s="209">
        <f t="shared" si="4"/>
        <v>0</v>
      </c>
      <c r="BP22" s="210"/>
      <c r="BR22" s="212" t="str">
        <f>IF($H22="","",VLOOKUP($H22,'Master Data'!$B:$D,3,FALSE))</f>
        <v>Advertising Expenses</v>
      </c>
      <c r="BS22" s="212" t="str">
        <f t="shared" si="7"/>
        <v>General Administrative</v>
      </c>
      <c r="BT22" s="212" t="str">
        <f>IF($H22="","",VLOOKUP(VALUE($H22),'Master Data'!B:I,8,FALSE))</f>
        <v>Advertising</v>
      </c>
    </row>
    <row r="23" spans="1:72" s="211" customFormat="1" x14ac:dyDescent="0.35">
      <c r="A23" s="188" t="str">
        <f>IF(D23="","",Cover!$D$8)</f>
        <v>PD Office</v>
      </c>
      <c r="B23" s="138" t="str">
        <f>IF(D23="","",IFERROR(VLOOKUP(G23,'Master Data'!$E$59:$J$144,6,FALSE),0))</f>
        <v>Corporate Communication</v>
      </c>
      <c r="C23" s="353" t="str">
        <f>IF(D23="","",_xlfn.XLOOKUP(D23,'Activity Master Opex'!C:C,'Activity Master Opex'!B:B,0,0,1))</f>
        <v>PR002-00002</v>
      </c>
      <c r="D23" s="190" t="s">
        <v>627</v>
      </c>
      <c r="E23" s="189" t="str">
        <f>IF(D23="","",IFERROR(VLOOKUP(D23,'Activity Master Opex'!$C:$M,6,FALSE),0))</f>
        <v>Media Article Placement</v>
      </c>
      <c r="F23" s="191" t="str">
        <f>IF($C23="","",VLOOKUP($C23,'Activity Master Opex'!$B:$I,3,0))</f>
        <v>10301PR002</v>
      </c>
      <c r="G23" s="189" t="str">
        <f>IF($C23="","",VLOOKUP($F23,'Master Data'!$D$59:$E$147,2,FALSE))</f>
        <v>MEDIA REL/PRESS CONF</v>
      </c>
      <c r="H23" s="192">
        <f>IF($C23="","",VLOOKUP($C23,'Activity Master Opex'!$B:$I,5,0))</f>
        <v>61400010</v>
      </c>
      <c r="I23" s="188" t="str">
        <f>IFERROR(VLOOKUP(H23,'Activity Master Opex'!$F:$G,2,FALSE),"")</f>
        <v>AE - Advertising and Promotion Expenses</v>
      </c>
      <c r="J23" s="193">
        <f>9524*15500</f>
        <v>147622000</v>
      </c>
      <c r="K23" s="193">
        <v>25125627</v>
      </c>
      <c r="L23" s="194"/>
      <c r="M23" s="194"/>
      <c r="N23" s="194"/>
      <c r="O23" s="194"/>
      <c r="P23" s="194"/>
      <c r="Q23" s="194"/>
      <c r="R23" s="194"/>
      <c r="S23" s="194"/>
      <c r="T23" s="194"/>
      <c r="U23" s="194"/>
      <c r="V23" s="194"/>
      <c r="W23" s="194"/>
      <c r="X23" s="195">
        <f t="shared" si="9"/>
        <v>0</v>
      </c>
      <c r="Y23" s="196"/>
      <c r="Z23" s="148"/>
      <c r="AA23" s="148"/>
      <c r="AB23" s="148"/>
      <c r="AC23" s="148"/>
      <c r="AD23" s="148"/>
      <c r="AE23" s="148"/>
      <c r="AF23" s="148"/>
      <c r="AG23" s="148"/>
      <c r="AH23" s="148"/>
      <c r="AI23" s="148"/>
      <c r="AJ23" s="148"/>
      <c r="AK23" s="148"/>
      <c r="AL23" s="197">
        <f t="shared" si="0"/>
        <v>0</v>
      </c>
      <c r="AM23" s="198"/>
      <c r="AN23" s="148"/>
      <c r="AO23" s="148"/>
      <c r="AP23" s="148"/>
      <c r="AQ23" s="148"/>
      <c r="AR23" s="148"/>
      <c r="AS23" s="148"/>
      <c r="AT23" s="148"/>
      <c r="AU23" s="148"/>
      <c r="AV23" s="148"/>
      <c r="AW23" s="148"/>
      <c r="AX23" s="148"/>
      <c r="AY23" s="148"/>
      <c r="AZ23" s="197">
        <f t="shared" si="1"/>
        <v>0</v>
      </c>
      <c r="BA23" s="199">
        <f t="shared" si="2"/>
        <v>-147622000</v>
      </c>
      <c r="BB23" s="200"/>
      <c r="BC23" s="201">
        <f t="shared" si="3"/>
        <v>0</v>
      </c>
      <c r="BD23" s="202" t="str">
        <f>IF('Budget Opex Detail'!C23="","",IF(COUNTIFS('Activity Master Opex'!$B$4:$B$172,'Budget Opex Detail'!$C23)&gt;0,"","New Activity"))</f>
        <v/>
      </c>
      <c r="BE23" s="203"/>
      <c r="BF23" s="204"/>
      <c r="BG23" s="205"/>
      <c r="BH23" s="206"/>
      <c r="BI23" s="207"/>
      <c r="BJ23" s="207"/>
      <c r="BK23" s="208"/>
      <c r="BL23" s="153">
        <f t="shared" si="6"/>
        <v>0</v>
      </c>
      <c r="BM23" s="206"/>
      <c r="BN23" s="206"/>
      <c r="BO23" s="209">
        <f t="shared" si="4"/>
        <v>0</v>
      </c>
      <c r="BP23" s="210"/>
      <c r="BR23" s="212" t="str">
        <f>IF($H23="","",VLOOKUP($H23,'Master Data'!$B:$D,3,FALSE))</f>
        <v>Advertising Expenses</v>
      </c>
      <c r="BS23" s="212" t="str">
        <f t="shared" si="7"/>
        <v>General Administrative</v>
      </c>
      <c r="BT23" s="212" t="str">
        <f>IF($H23="","",VLOOKUP(VALUE($H23),'Master Data'!B:I,8,FALSE))</f>
        <v>Advertising</v>
      </c>
    </row>
    <row r="24" spans="1:72" s="211" customFormat="1" x14ac:dyDescent="0.35">
      <c r="A24" s="188" t="str">
        <f>IF(D24="","",Cover!$D$8)</f>
        <v>PD Office</v>
      </c>
      <c r="B24" s="138" t="str">
        <f>IF(D24="","",IFERROR(VLOOKUP(G24,'Master Data'!$E$59:$J$144,6,FALSE),0))</f>
        <v>Corporate Communication</v>
      </c>
      <c r="C24" s="353" t="str">
        <f>IF(D24="","",_xlfn.XLOOKUP(D24,'Activity Master Opex'!C:C,'Activity Master Opex'!B:B,0,0,1))</f>
        <v>PR002-00003</v>
      </c>
      <c r="D24" s="190" t="s">
        <v>628</v>
      </c>
      <c r="E24" s="189" t="str">
        <f>IF(D24="","",IFERROR(VLOOKUP(D24,'Activity Master Opex'!$C:$M,6,FALSE),0))</f>
        <v>Souvenirs/gifts with GYS logo for company guests</v>
      </c>
      <c r="F24" s="191" t="str">
        <f>IF($C24="","",VLOOKUP($C24,'Activity Master Opex'!$B:$I,3,0))</f>
        <v>10301PR002</v>
      </c>
      <c r="G24" s="189" t="str">
        <f>IF($C24="","",VLOOKUP($F24,'Master Data'!$D$59:$E$147,2,FALSE))</f>
        <v>MEDIA REL/PRESS CONF</v>
      </c>
      <c r="H24" s="192">
        <f>IF($C24="","",VLOOKUP($C24,'Activity Master Opex'!$B:$I,5,0))</f>
        <v>61400020</v>
      </c>
      <c r="I24" s="188" t="str">
        <f>IFERROR(VLOOKUP(H24,'Activity Master Opex'!$F:$G,2,FALSE),"")</f>
        <v>AE - Material and Gift</v>
      </c>
      <c r="J24" s="193">
        <f>21938*15500</f>
        <v>340039000</v>
      </c>
      <c r="K24" s="193">
        <v>29384074</v>
      </c>
      <c r="L24" s="194"/>
      <c r="M24" s="194"/>
      <c r="N24" s="194"/>
      <c r="O24" s="194"/>
      <c r="P24" s="194"/>
      <c r="Q24" s="194"/>
      <c r="R24" s="194"/>
      <c r="S24" s="194"/>
      <c r="T24" s="194"/>
      <c r="U24" s="194"/>
      <c r="V24" s="194"/>
      <c r="W24" s="194"/>
      <c r="X24" s="195">
        <f t="shared" si="9"/>
        <v>0</v>
      </c>
      <c r="Y24" s="196"/>
      <c r="Z24" s="148"/>
      <c r="AA24" s="148"/>
      <c r="AB24" s="148"/>
      <c r="AC24" s="148"/>
      <c r="AD24" s="148"/>
      <c r="AE24" s="148"/>
      <c r="AF24" s="148"/>
      <c r="AG24" s="148"/>
      <c r="AH24" s="148"/>
      <c r="AI24" s="148"/>
      <c r="AJ24" s="148"/>
      <c r="AK24" s="148"/>
      <c r="AL24" s="197">
        <f t="shared" si="0"/>
        <v>0</v>
      </c>
      <c r="AM24" s="198"/>
      <c r="AN24" s="148"/>
      <c r="AO24" s="148"/>
      <c r="AP24" s="148"/>
      <c r="AQ24" s="148"/>
      <c r="AR24" s="148"/>
      <c r="AS24" s="148"/>
      <c r="AT24" s="148"/>
      <c r="AU24" s="148"/>
      <c r="AV24" s="148"/>
      <c r="AW24" s="148"/>
      <c r="AX24" s="148"/>
      <c r="AY24" s="148"/>
      <c r="AZ24" s="197">
        <f t="shared" si="1"/>
        <v>0</v>
      </c>
      <c r="BA24" s="199">
        <f t="shared" si="2"/>
        <v>-340039000</v>
      </c>
      <c r="BB24" s="200"/>
      <c r="BC24" s="201">
        <f t="shared" si="3"/>
        <v>0</v>
      </c>
      <c r="BD24" s="202" t="str">
        <f>IF('Budget Opex Detail'!C24="","",IF(COUNTIFS('Activity Master Opex'!$B$4:$B$172,'Budget Opex Detail'!$C24)&gt;0,"","New Activity"))</f>
        <v/>
      </c>
      <c r="BE24" s="203"/>
      <c r="BF24" s="204"/>
      <c r="BG24" s="205"/>
      <c r="BH24" s="206"/>
      <c r="BI24" s="207"/>
      <c r="BJ24" s="207"/>
      <c r="BK24" s="208"/>
      <c r="BL24" s="153">
        <f t="shared" si="6"/>
        <v>0</v>
      </c>
      <c r="BM24" s="206"/>
      <c r="BN24" s="206"/>
      <c r="BO24" s="209">
        <f t="shared" si="4"/>
        <v>0</v>
      </c>
      <c r="BP24" s="210"/>
      <c r="BR24" s="212" t="str">
        <f>IF($H24="","",VLOOKUP($H24,'Master Data'!$B:$D,3,FALSE))</f>
        <v>Advertising Expenses</v>
      </c>
      <c r="BS24" s="212" t="str">
        <f t="shared" si="7"/>
        <v>General Administrative</v>
      </c>
      <c r="BT24" s="212" t="str">
        <f>IF($H24="","",VLOOKUP(VALUE($H24),'Master Data'!B:I,8,FALSE))</f>
        <v>Advertising</v>
      </c>
    </row>
    <row r="25" spans="1:72" s="211" customFormat="1" x14ac:dyDescent="0.35">
      <c r="A25" s="188" t="str">
        <f>IF(D25="","",Cover!$D$8)</f>
        <v>PD Office</v>
      </c>
      <c r="B25" s="138" t="str">
        <f>IF(D25="","",IFERROR(VLOOKUP(G25,'Master Data'!$E$59:$J$144,6,FALSE),0))</f>
        <v>Corporate Communication</v>
      </c>
      <c r="C25" s="353" t="str">
        <f>IF(D25="","",_xlfn.XLOOKUP(D25,'Activity Master Opex'!C:C,'Activity Master Opex'!B:B,0,0,1))</f>
        <v>PR002-00007</v>
      </c>
      <c r="D25" s="190" t="s">
        <v>722</v>
      </c>
      <c r="E25" s="189" t="str">
        <f>IF(D25="","",IFERROR(VLOOKUP(D25,'Activity Master Opex'!$C:$M,6,FALSE),0))</f>
        <v>Printing banner/sticker for event</v>
      </c>
      <c r="F25" s="191" t="str">
        <f>IF($C25="","",VLOOKUP($C25,'Activity Master Opex'!$B:$I,3,0))</f>
        <v>10301PR002</v>
      </c>
      <c r="G25" s="189" t="str">
        <f>IF($C25="","",VLOOKUP($F25,'Master Data'!$D$59:$E$147,2,FALSE))</f>
        <v>MEDIA REL/PRESS CONF</v>
      </c>
      <c r="H25" s="192">
        <f>IF($C25="","",VLOOKUP($C25,'Activity Master Opex'!$B:$I,5,0))</f>
        <v>62200020</v>
      </c>
      <c r="I25" s="188" t="str">
        <f>IFERROR(VLOOKUP(H25,'Activity Master Opex'!$F:$G,2,FALSE),"")</f>
        <v>Printing and Supplies Expenses</v>
      </c>
      <c r="J25" s="193">
        <f>16888.2996774194*15500</f>
        <v>261768645.00000069</v>
      </c>
      <c r="K25" s="193">
        <v>0</v>
      </c>
      <c r="L25" s="194"/>
      <c r="M25" s="194"/>
      <c r="N25" s="194"/>
      <c r="O25" s="194"/>
      <c r="P25" s="194"/>
      <c r="Q25" s="194"/>
      <c r="R25" s="194"/>
      <c r="S25" s="194"/>
      <c r="T25" s="194"/>
      <c r="U25" s="194"/>
      <c r="V25" s="194"/>
      <c r="W25" s="194"/>
      <c r="X25" s="195">
        <f t="shared" si="9"/>
        <v>0</v>
      </c>
      <c r="Y25" s="196"/>
      <c r="Z25" s="148"/>
      <c r="AA25" s="148"/>
      <c r="AB25" s="148"/>
      <c r="AC25" s="148"/>
      <c r="AD25" s="148"/>
      <c r="AE25" s="148"/>
      <c r="AF25" s="148"/>
      <c r="AG25" s="148"/>
      <c r="AH25" s="148"/>
      <c r="AI25" s="148"/>
      <c r="AJ25" s="148"/>
      <c r="AK25" s="148"/>
      <c r="AL25" s="197">
        <f t="shared" si="0"/>
        <v>0</v>
      </c>
      <c r="AM25" s="198"/>
      <c r="AN25" s="148"/>
      <c r="AO25" s="148"/>
      <c r="AP25" s="148"/>
      <c r="AQ25" s="148"/>
      <c r="AR25" s="148"/>
      <c r="AS25" s="148"/>
      <c r="AT25" s="148"/>
      <c r="AU25" s="148"/>
      <c r="AV25" s="148"/>
      <c r="AW25" s="148"/>
      <c r="AX25" s="148"/>
      <c r="AY25" s="148"/>
      <c r="AZ25" s="197">
        <f t="shared" si="1"/>
        <v>0</v>
      </c>
      <c r="BA25" s="199">
        <f t="shared" si="2"/>
        <v>-261768645.00000069</v>
      </c>
      <c r="BB25" s="200"/>
      <c r="BC25" s="201">
        <f t="shared" si="3"/>
        <v>0</v>
      </c>
      <c r="BD25" s="202" t="str">
        <f>IF('Budget Opex Detail'!C25="","",IF(COUNTIFS('Activity Master Opex'!$B$4:$B$172,'Budget Opex Detail'!$C25)&gt;0,"","New Activity"))</f>
        <v/>
      </c>
      <c r="BE25" s="203"/>
      <c r="BF25" s="204"/>
      <c r="BG25" s="205"/>
      <c r="BH25" s="206"/>
      <c r="BI25" s="207"/>
      <c r="BJ25" s="207"/>
      <c r="BK25" s="208"/>
      <c r="BL25" s="153">
        <f t="shared" si="6"/>
        <v>0</v>
      </c>
      <c r="BM25" s="206"/>
      <c r="BN25" s="206"/>
      <c r="BO25" s="209">
        <f t="shared" si="4"/>
        <v>0</v>
      </c>
      <c r="BP25" s="210"/>
      <c r="BR25" s="212" t="str">
        <f>IF($H25="","",VLOOKUP($H25,'Master Data'!$B:$D,3,FALSE))</f>
        <v>Stationery &amp; Supplies Expe</v>
      </c>
      <c r="BS25" s="212" t="str">
        <f t="shared" si="7"/>
        <v>General Administrative</v>
      </c>
      <c r="BT25" s="212" t="str">
        <f>IF($H25="","",VLOOKUP(VALUE($H25),'Master Data'!B:I,8,FALSE))</f>
        <v>Stationery and supplies</v>
      </c>
    </row>
    <row r="26" spans="1:72" s="211" customFormat="1" x14ac:dyDescent="0.35">
      <c r="A26" s="188" t="str">
        <f>IF(D26="","",Cover!$D$8)</f>
        <v>PD Office</v>
      </c>
      <c r="B26" s="138" t="str">
        <f>IF(D26="","",IFERROR(VLOOKUP(G26,'Master Data'!$E$59:$J$144,6,FALSE),0))</f>
        <v>Corporate Communication</v>
      </c>
      <c r="C26" s="353" t="str">
        <f>IF(D26="","",_xlfn.XLOOKUP(D26,'Activity Master Opex'!C:C,'Activity Master Opex'!B:B,0,0,1))</f>
        <v>PR002-00008</v>
      </c>
      <c r="D26" s="190" t="s">
        <v>315</v>
      </c>
      <c r="E26" s="189" t="str">
        <f>IF(D26="","",IFERROR(VLOOKUP(D26,'Activity Master Opex'!$C:$M,6,FALSE),0))</f>
        <v>Office Equipment</v>
      </c>
      <c r="F26" s="191" t="str">
        <f>IF($C26="","",VLOOKUP($C26,'Activity Master Opex'!$B:$I,3,0))</f>
        <v>10301PR002</v>
      </c>
      <c r="G26" s="189" t="str">
        <f>IF($C26="","",VLOOKUP($F26,'Master Data'!$D$59:$E$147,2,FALSE))</f>
        <v>MEDIA REL/PRESS CONF</v>
      </c>
      <c r="H26" s="192">
        <f>IF($C26="","",VLOOKUP($C26,'Activity Master Opex'!$B:$I,5,0))</f>
        <v>62600030</v>
      </c>
      <c r="I26" s="188" t="str">
        <f>IFERROR(VLOOKUP(H26,'Activity Master Opex'!$F:$G,2,FALSE),"")</f>
        <v>Office Equipment Expenses</v>
      </c>
      <c r="J26" s="193">
        <f>257*15500</f>
        <v>3983500</v>
      </c>
      <c r="K26" s="193">
        <v>570027</v>
      </c>
      <c r="L26" s="194"/>
      <c r="M26" s="194"/>
      <c r="N26" s="194"/>
      <c r="O26" s="194"/>
      <c r="P26" s="194"/>
      <c r="Q26" s="194"/>
      <c r="R26" s="194"/>
      <c r="S26" s="194"/>
      <c r="T26" s="194"/>
      <c r="U26" s="194"/>
      <c r="V26" s="194"/>
      <c r="W26" s="194"/>
      <c r="X26" s="195">
        <f t="shared" si="9"/>
        <v>0</v>
      </c>
      <c r="Y26" s="196"/>
      <c r="Z26" s="148"/>
      <c r="AA26" s="148"/>
      <c r="AB26" s="148"/>
      <c r="AC26" s="148"/>
      <c r="AD26" s="148"/>
      <c r="AE26" s="148"/>
      <c r="AF26" s="148"/>
      <c r="AG26" s="148"/>
      <c r="AH26" s="148"/>
      <c r="AI26" s="148"/>
      <c r="AJ26" s="148"/>
      <c r="AK26" s="148"/>
      <c r="AL26" s="197">
        <f t="shared" si="0"/>
        <v>0</v>
      </c>
      <c r="AM26" s="198"/>
      <c r="AN26" s="148"/>
      <c r="AO26" s="148"/>
      <c r="AP26" s="148"/>
      <c r="AQ26" s="148"/>
      <c r="AR26" s="148"/>
      <c r="AS26" s="148"/>
      <c r="AT26" s="148"/>
      <c r="AU26" s="148"/>
      <c r="AV26" s="148"/>
      <c r="AW26" s="148"/>
      <c r="AX26" s="148"/>
      <c r="AY26" s="148"/>
      <c r="AZ26" s="197">
        <f t="shared" si="1"/>
        <v>0</v>
      </c>
      <c r="BA26" s="199">
        <f t="shared" si="2"/>
        <v>-3983500</v>
      </c>
      <c r="BB26" s="200"/>
      <c r="BC26" s="201">
        <f t="shared" si="3"/>
        <v>0</v>
      </c>
      <c r="BD26" s="202" t="str">
        <f>IF('Budget Opex Detail'!C26="","",IF(COUNTIFS('Activity Master Opex'!$B$4:$B$172,'Budget Opex Detail'!$C26)&gt;0,"","New Activity"))</f>
        <v/>
      </c>
      <c r="BE26" s="203"/>
      <c r="BF26" s="204"/>
      <c r="BG26" s="205"/>
      <c r="BH26" s="206"/>
      <c r="BI26" s="207"/>
      <c r="BJ26" s="207"/>
      <c r="BK26" s="208"/>
      <c r="BL26" s="153">
        <f t="shared" si="6"/>
        <v>0</v>
      </c>
      <c r="BM26" s="206"/>
      <c r="BN26" s="206"/>
      <c r="BO26" s="209">
        <f t="shared" si="4"/>
        <v>0</v>
      </c>
      <c r="BP26" s="210"/>
      <c r="BR26" s="212" t="str">
        <f>IF($H26="","",VLOOKUP($H26,'Master Data'!$B:$D,3,FALSE))</f>
        <v>Equipment Expenses</v>
      </c>
      <c r="BS26" s="212" t="str">
        <f t="shared" si="7"/>
        <v>General Administrative</v>
      </c>
      <c r="BT26" s="212" t="str">
        <f>IF($H26="","",VLOOKUP(VALUE($H26),'Master Data'!B:I,8,FALSE))</f>
        <v>Equipment Expenses</v>
      </c>
    </row>
    <row r="27" spans="1:72" s="211" customFormat="1" x14ac:dyDescent="0.35">
      <c r="A27" s="188" t="str">
        <f>IF(D27="","",Cover!$D$8)</f>
        <v>PD Office</v>
      </c>
      <c r="B27" s="138" t="str">
        <f>IF(D27="","",IFERROR(VLOOKUP(G27,'Master Data'!$E$59:$J$144,6,FALSE),0))</f>
        <v>Corporate Communication</v>
      </c>
      <c r="C27" s="353" t="str">
        <f>IF(D27="","",_xlfn.XLOOKUP(D27,'Activity Master Opex'!C:C,'Activity Master Opex'!B:B,0,0,1))</f>
        <v>PR002-00010</v>
      </c>
      <c r="D27" s="190" t="s">
        <v>629</v>
      </c>
      <c r="E27" s="189" t="str">
        <f>IF(D27="","",IFERROR(VLOOKUP(D27,'Activity Master Opex'!$C:$M,6,FALSE),0))</f>
        <v>Yearly subscription for Linkedin Premium</v>
      </c>
      <c r="F27" s="191" t="str">
        <f>IF($C27="","",VLOOKUP($C27,'Activity Master Opex'!$B:$I,3,0))</f>
        <v>10301PR002</v>
      </c>
      <c r="G27" s="189" t="str">
        <f>IF($C27="","",VLOOKUP($F27,'Master Data'!$D$59:$E$147,2,FALSE))</f>
        <v>MEDIA REL/PRESS CONF</v>
      </c>
      <c r="H27" s="192">
        <f>IF($C27="","",VLOOKUP($C27,'Activity Master Opex'!$B:$I,5,0))</f>
        <v>62900020</v>
      </c>
      <c r="I27" s="188" t="str">
        <f>IFERROR(VLOOKUP(H27,'Activity Master Opex'!$F:$G,2,FALSE),"")</f>
        <v>Subscriptions and Periodicals</v>
      </c>
      <c r="J27" s="193">
        <f>593*15500</f>
        <v>9191500</v>
      </c>
      <c r="K27" s="193">
        <v>0</v>
      </c>
      <c r="L27" s="194"/>
      <c r="M27" s="194"/>
      <c r="N27" s="194"/>
      <c r="O27" s="194"/>
      <c r="P27" s="194"/>
      <c r="Q27" s="194"/>
      <c r="R27" s="194"/>
      <c r="S27" s="194"/>
      <c r="T27" s="194"/>
      <c r="U27" s="194"/>
      <c r="V27" s="194"/>
      <c r="W27" s="194"/>
      <c r="X27" s="195">
        <f t="shared" si="9"/>
        <v>0</v>
      </c>
      <c r="Y27" s="196"/>
      <c r="Z27" s="148"/>
      <c r="AA27" s="148"/>
      <c r="AB27" s="148"/>
      <c r="AC27" s="148"/>
      <c r="AD27" s="148"/>
      <c r="AE27" s="148"/>
      <c r="AF27" s="148"/>
      <c r="AG27" s="148"/>
      <c r="AH27" s="148"/>
      <c r="AI27" s="148"/>
      <c r="AJ27" s="148"/>
      <c r="AK27" s="148"/>
      <c r="AL27" s="197">
        <f t="shared" si="0"/>
        <v>0</v>
      </c>
      <c r="AM27" s="198"/>
      <c r="AN27" s="148"/>
      <c r="AO27" s="148"/>
      <c r="AP27" s="148"/>
      <c r="AQ27" s="148"/>
      <c r="AR27" s="148"/>
      <c r="AS27" s="148"/>
      <c r="AT27" s="148"/>
      <c r="AU27" s="148"/>
      <c r="AV27" s="148"/>
      <c r="AW27" s="148"/>
      <c r="AX27" s="148"/>
      <c r="AY27" s="148"/>
      <c r="AZ27" s="197">
        <f t="shared" si="1"/>
        <v>0</v>
      </c>
      <c r="BA27" s="199">
        <f t="shared" si="2"/>
        <v>-9191500</v>
      </c>
      <c r="BB27" s="200"/>
      <c r="BC27" s="201">
        <f t="shared" si="3"/>
        <v>0</v>
      </c>
      <c r="BD27" s="202" t="str">
        <f>IF('Budget Opex Detail'!C27="","",IF(COUNTIFS('Activity Master Opex'!$B$4:$B$172,'Budget Opex Detail'!$C27)&gt;0,"","New Activity"))</f>
        <v/>
      </c>
      <c r="BE27" s="203"/>
      <c r="BF27" s="204"/>
      <c r="BG27" s="205"/>
      <c r="BH27" s="206"/>
      <c r="BI27" s="207"/>
      <c r="BJ27" s="207"/>
      <c r="BK27" s="208"/>
      <c r="BL27" s="153">
        <f t="shared" si="6"/>
        <v>0</v>
      </c>
      <c r="BM27" s="206"/>
      <c r="BN27" s="206"/>
      <c r="BO27" s="209">
        <f t="shared" si="4"/>
        <v>0</v>
      </c>
      <c r="BP27" s="210"/>
      <c r="BR27" s="212" t="str">
        <f>IF($H27="","",VLOOKUP($H27,'Master Data'!$B:$D,3,FALSE))</f>
        <v>Membership &amp; Sponsorship</v>
      </c>
      <c r="BS27" s="212" t="str">
        <f t="shared" si="7"/>
        <v>General Administrative</v>
      </c>
      <c r="BT27" s="212" t="str">
        <f>IF($H27="","",VLOOKUP(VALUE($H27),'Master Data'!B:I,8,FALSE))</f>
        <v>Subscriptions and Periodicals</v>
      </c>
    </row>
    <row r="28" spans="1:72" s="211" customFormat="1" x14ac:dyDescent="0.35">
      <c r="A28" s="188" t="str">
        <f>IF(D28="","",Cover!$D$8)</f>
        <v>PD Office</v>
      </c>
      <c r="B28" s="138" t="str">
        <f>IF(D28="","",IFERROR(VLOOKUP(G28,'Master Data'!$E$59:$J$144,6,FALSE),0))</f>
        <v>Corporate Communication</v>
      </c>
      <c r="C28" s="353" t="str">
        <f>IF(D28="","",_xlfn.XLOOKUP(D28,'Activity Master Opex'!C:C,'Activity Master Opex'!B:B,0,0,1))</f>
        <v>PR002-00019</v>
      </c>
      <c r="D28" s="190" t="s">
        <v>683</v>
      </c>
      <c r="E28" s="189" t="str">
        <f>IF(D28="","",IFERROR(VLOOKUP(D28,'Activity Master Opex'!$C:$M,6,FALSE),0))</f>
        <v>Subscription for drawing license</v>
      </c>
      <c r="F28" s="191" t="str">
        <f>IF($C28="","",VLOOKUP($C28,'Activity Master Opex'!$B:$I,3,0))</f>
        <v>10301PR002</v>
      </c>
      <c r="G28" s="189" t="str">
        <f>IF($C28="","",VLOOKUP($F28,'Master Data'!$D$59:$E$147,2,FALSE))</f>
        <v>MEDIA REL/PRESS CONF</v>
      </c>
      <c r="H28" s="192">
        <f>IF($C28="","",VLOOKUP($C28,'Activity Master Opex'!$B:$I,5,0))</f>
        <v>62900020</v>
      </c>
      <c r="I28" s="188" t="str">
        <f>IFERROR(VLOOKUP(H28,'Activity Master Opex'!$F:$G,2,FALSE),"")</f>
        <v>Subscriptions and Periodicals</v>
      </c>
      <c r="J28" s="214">
        <f>106*15500</f>
        <v>1643000</v>
      </c>
      <c r="K28" s="193">
        <v>0</v>
      </c>
      <c r="L28" s="194"/>
      <c r="M28" s="194"/>
      <c r="N28" s="194"/>
      <c r="O28" s="194"/>
      <c r="P28" s="194"/>
      <c r="Q28" s="194"/>
      <c r="R28" s="194"/>
      <c r="S28" s="194"/>
      <c r="T28" s="194"/>
      <c r="U28" s="194"/>
      <c r="V28" s="194"/>
      <c r="W28" s="194"/>
      <c r="X28" s="195">
        <f t="shared" si="9"/>
        <v>0</v>
      </c>
      <c r="Y28" s="196"/>
      <c r="Z28" s="148"/>
      <c r="AA28" s="148"/>
      <c r="AB28" s="148"/>
      <c r="AC28" s="148"/>
      <c r="AD28" s="148"/>
      <c r="AE28" s="148"/>
      <c r="AF28" s="148"/>
      <c r="AG28" s="148"/>
      <c r="AH28" s="148"/>
      <c r="AI28" s="148"/>
      <c r="AJ28" s="148"/>
      <c r="AK28" s="148"/>
      <c r="AL28" s="197">
        <f t="shared" si="0"/>
        <v>0</v>
      </c>
      <c r="AM28" s="198"/>
      <c r="AN28" s="148"/>
      <c r="AO28" s="148"/>
      <c r="AP28" s="148"/>
      <c r="AQ28" s="148"/>
      <c r="AR28" s="148"/>
      <c r="AS28" s="148"/>
      <c r="AT28" s="148"/>
      <c r="AU28" s="148"/>
      <c r="AV28" s="148"/>
      <c r="AW28" s="148"/>
      <c r="AX28" s="148"/>
      <c r="AY28" s="148"/>
      <c r="AZ28" s="197">
        <f t="shared" si="1"/>
        <v>0</v>
      </c>
      <c r="BA28" s="199">
        <f t="shared" si="2"/>
        <v>-1643000</v>
      </c>
      <c r="BB28" s="200"/>
      <c r="BC28" s="201">
        <f t="shared" si="3"/>
        <v>0</v>
      </c>
      <c r="BD28" s="202" t="str">
        <f>IF('Budget Opex Detail'!C28="","",IF(COUNTIFS('Activity Master Opex'!$B$4:$B$172,'Budget Opex Detail'!$C28)&gt;0,"","New Activity"))</f>
        <v/>
      </c>
      <c r="BE28" s="203"/>
      <c r="BF28" s="204"/>
      <c r="BG28" s="205"/>
      <c r="BH28" s="206"/>
      <c r="BI28" s="207"/>
      <c r="BJ28" s="207"/>
      <c r="BK28" s="208"/>
      <c r="BL28" s="153">
        <f t="shared" si="6"/>
        <v>0</v>
      </c>
      <c r="BM28" s="206"/>
      <c r="BN28" s="206"/>
      <c r="BO28" s="209">
        <f t="shared" si="4"/>
        <v>0</v>
      </c>
      <c r="BP28" s="210"/>
      <c r="BR28" s="212" t="str">
        <f>IF($H28="","",VLOOKUP($H28,'Master Data'!$B:$D,3,FALSE))</f>
        <v>Membership &amp; Sponsorship</v>
      </c>
      <c r="BS28" s="212" t="str">
        <f t="shared" si="7"/>
        <v>General Administrative</v>
      </c>
      <c r="BT28" s="212" t="str">
        <f>IF($H28="","",VLOOKUP(VALUE($H28),'Master Data'!B:I,8,FALSE))</f>
        <v>Subscriptions and Periodicals</v>
      </c>
    </row>
    <row r="29" spans="1:72" s="211" customFormat="1" x14ac:dyDescent="0.35">
      <c r="A29" s="188" t="str">
        <f>IF(D29="","",Cover!$D$8)</f>
        <v>PD Office</v>
      </c>
      <c r="B29" s="138" t="str">
        <f>IF(D29="","",IFERROR(VLOOKUP(G29,'Master Data'!$E$59:$J$144,6,FALSE),0))</f>
        <v>Corporate Communication</v>
      </c>
      <c r="C29" s="353" t="str">
        <f>IF(D29="","",_xlfn.XLOOKUP(D29,'Activity Master Opex'!C:C,'Activity Master Opex'!B:B,0,0,1))</f>
        <v>PR002-00035</v>
      </c>
      <c r="D29" s="190" t="s">
        <v>631</v>
      </c>
      <c r="E29" s="189" t="str">
        <f>IF(D29="","",IFERROR(VLOOKUP(D29,'Activity Master Opex'!$C:$M,6,FALSE),0))</f>
        <v>Graphic design platform for creating posters, presentations, social media posts, etc</v>
      </c>
      <c r="F29" s="191" t="str">
        <f>IF($C29="","",VLOOKUP($C29,'Activity Master Opex'!$B:$I,3,0))</f>
        <v>10301PR002</v>
      </c>
      <c r="G29" s="189" t="str">
        <f>IF($C29="","",VLOOKUP($F29,'Master Data'!$D$59:$E$147,2,FALSE))</f>
        <v>MEDIA REL/PRESS CONF</v>
      </c>
      <c r="H29" s="192">
        <f>IF($C29="","",VLOOKUP($C29,'Activity Master Opex'!$B:$I,5,0))</f>
        <v>62900020</v>
      </c>
      <c r="I29" s="188" t="str">
        <f>IFERROR(VLOOKUP(H29,'Activity Master Opex'!$F:$G,2,FALSE),"")</f>
        <v>Subscriptions and Periodicals</v>
      </c>
      <c r="J29" s="214">
        <f>167.700322580645*15500</f>
        <v>2599354.9999999977</v>
      </c>
      <c r="K29" s="193">
        <v>2628000</v>
      </c>
      <c r="L29" s="194"/>
      <c r="M29" s="194"/>
      <c r="N29" s="194"/>
      <c r="O29" s="194"/>
      <c r="P29" s="194"/>
      <c r="Q29" s="194"/>
      <c r="R29" s="194"/>
      <c r="S29" s="194"/>
      <c r="T29" s="194"/>
      <c r="U29" s="194"/>
      <c r="V29" s="194"/>
      <c r="W29" s="194"/>
      <c r="X29" s="195">
        <f t="shared" si="9"/>
        <v>0</v>
      </c>
      <c r="Y29" s="196"/>
      <c r="Z29" s="148"/>
      <c r="AA29" s="148"/>
      <c r="AB29" s="148"/>
      <c r="AC29" s="148"/>
      <c r="AD29" s="148"/>
      <c r="AE29" s="148"/>
      <c r="AF29" s="148"/>
      <c r="AG29" s="148"/>
      <c r="AH29" s="148"/>
      <c r="AI29" s="148"/>
      <c r="AJ29" s="148"/>
      <c r="AK29" s="148"/>
      <c r="AL29" s="197">
        <f t="shared" si="0"/>
        <v>0</v>
      </c>
      <c r="AM29" s="198"/>
      <c r="AN29" s="148"/>
      <c r="AO29" s="148"/>
      <c r="AP29" s="148"/>
      <c r="AQ29" s="148"/>
      <c r="AR29" s="148"/>
      <c r="AS29" s="148"/>
      <c r="AT29" s="148"/>
      <c r="AU29" s="148"/>
      <c r="AV29" s="148"/>
      <c r="AW29" s="148"/>
      <c r="AX29" s="148"/>
      <c r="AY29" s="148"/>
      <c r="AZ29" s="197">
        <f t="shared" si="1"/>
        <v>0</v>
      </c>
      <c r="BA29" s="199">
        <f t="shared" si="2"/>
        <v>-2599354.9999999977</v>
      </c>
      <c r="BB29" s="200"/>
      <c r="BC29" s="201">
        <f t="shared" si="3"/>
        <v>0</v>
      </c>
      <c r="BD29" s="202" t="str">
        <f>IF('Budget Opex Detail'!C29="","",IF(COUNTIFS('Activity Master Opex'!$B$4:$B$172,'Budget Opex Detail'!$C29)&gt;0,"","New Activity"))</f>
        <v/>
      </c>
      <c r="BE29" s="203"/>
      <c r="BF29" s="204"/>
      <c r="BG29" s="205"/>
      <c r="BH29" s="206"/>
      <c r="BI29" s="207"/>
      <c r="BJ29" s="207"/>
      <c r="BK29" s="208"/>
      <c r="BL29" s="153">
        <f t="shared" si="6"/>
        <v>0</v>
      </c>
      <c r="BM29" s="206"/>
      <c r="BN29" s="206"/>
      <c r="BO29" s="209">
        <f t="shared" si="4"/>
        <v>0</v>
      </c>
      <c r="BP29" s="210"/>
      <c r="BR29" s="212" t="str">
        <f>IF($H29="","",VLOOKUP($H29,'Master Data'!$B:$D,3,FALSE))</f>
        <v>Membership &amp; Sponsorship</v>
      </c>
      <c r="BS29" s="212" t="str">
        <f t="shared" si="7"/>
        <v>General Administrative</v>
      </c>
      <c r="BT29" s="212" t="str">
        <f>IF($H29="","",VLOOKUP(VALUE($H29),'Master Data'!B:I,8,FALSE))</f>
        <v>Subscriptions and Periodicals</v>
      </c>
    </row>
    <row r="30" spans="1:72" s="211" customFormat="1" x14ac:dyDescent="0.35">
      <c r="A30" s="188" t="str">
        <f>IF(D30="","",Cover!$D$8)</f>
        <v>PD Office</v>
      </c>
      <c r="B30" s="138" t="str">
        <f>IF(D30="","",IFERROR(VLOOKUP(G30,'Master Data'!$E$59:$J$144,6,FALSE),0))</f>
        <v>Corporate Communication</v>
      </c>
      <c r="C30" s="353" t="str">
        <f>IF(D30="","",_xlfn.XLOOKUP(D30,'Activity Master Opex'!C:C,'Activity Master Opex'!B:B,0,0,1))</f>
        <v>PR002-00036</v>
      </c>
      <c r="D30" s="190" t="s">
        <v>632</v>
      </c>
      <c r="E30" s="189" t="str">
        <f>IF(D30="","",IFERROR(VLOOKUP(D30,'Activity Master Opex'!$C:$M,6,FALSE),0))</f>
        <v>Application subscriptionfor viewing, creating, editing, managing, and sharing PDF (Portable Document Format) files</v>
      </c>
      <c r="F30" s="191" t="str">
        <f>IF($C30="","",VLOOKUP($C30,'Activity Master Opex'!$B:$I,3,0))</f>
        <v>10301PR002</v>
      </c>
      <c r="G30" s="189" t="str">
        <f>IF($C30="","",VLOOKUP($F30,'Master Data'!$D$59:$E$147,2,FALSE))</f>
        <v>MEDIA REL/PRESS CONF</v>
      </c>
      <c r="H30" s="192">
        <f>IF($C30="","",VLOOKUP($C30,'Activity Master Opex'!$B:$I,5,0))</f>
        <v>62900020</v>
      </c>
      <c r="I30" s="188" t="str">
        <f>IFERROR(VLOOKUP(H30,'Activity Master Opex'!$F:$G,2,FALSE),"")</f>
        <v>Subscriptions and Periodicals</v>
      </c>
      <c r="J30" s="214">
        <f>865*15500</f>
        <v>13407500</v>
      </c>
      <c r="K30" s="193">
        <v>13200000</v>
      </c>
      <c r="L30" s="194"/>
      <c r="M30" s="194"/>
      <c r="N30" s="194"/>
      <c r="O30" s="194"/>
      <c r="P30" s="194"/>
      <c r="Q30" s="194"/>
      <c r="R30" s="194"/>
      <c r="S30" s="194"/>
      <c r="T30" s="194"/>
      <c r="U30" s="194"/>
      <c r="V30" s="194"/>
      <c r="W30" s="194"/>
      <c r="X30" s="195">
        <f t="shared" si="9"/>
        <v>0</v>
      </c>
      <c r="Y30" s="196"/>
      <c r="Z30" s="148"/>
      <c r="AA30" s="148"/>
      <c r="AB30" s="148"/>
      <c r="AC30" s="148"/>
      <c r="AD30" s="148"/>
      <c r="AE30" s="148"/>
      <c r="AF30" s="148"/>
      <c r="AG30" s="148"/>
      <c r="AH30" s="148"/>
      <c r="AI30" s="148"/>
      <c r="AJ30" s="148"/>
      <c r="AK30" s="148"/>
      <c r="AL30" s="197">
        <f t="shared" si="0"/>
        <v>0</v>
      </c>
      <c r="AM30" s="198"/>
      <c r="AN30" s="148"/>
      <c r="AO30" s="148"/>
      <c r="AP30" s="148"/>
      <c r="AQ30" s="148"/>
      <c r="AR30" s="148"/>
      <c r="AS30" s="148"/>
      <c r="AT30" s="148"/>
      <c r="AU30" s="148"/>
      <c r="AV30" s="148"/>
      <c r="AW30" s="148"/>
      <c r="AX30" s="148"/>
      <c r="AY30" s="148"/>
      <c r="AZ30" s="197">
        <f t="shared" si="1"/>
        <v>0</v>
      </c>
      <c r="BA30" s="199">
        <f t="shared" si="2"/>
        <v>-13407500</v>
      </c>
      <c r="BB30" s="200"/>
      <c r="BC30" s="201">
        <f t="shared" si="3"/>
        <v>0</v>
      </c>
      <c r="BD30" s="202" t="str">
        <f>IF('Budget Opex Detail'!C30="","",IF(COUNTIFS('Activity Master Opex'!$B$4:$B$172,'Budget Opex Detail'!$C30)&gt;0,"","New Activity"))</f>
        <v/>
      </c>
      <c r="BE30" s="203"/>
      <c r="BF30" s="204"/>
      <c r="BG30" s="205"/>
      <c r="BH30" s="206"/>
      <c r="BI30" s="207"/>
      <c r="BJ30" s="207"/>
      <c r="BK30" s="208"/>
      <c r="BL30" s="153">
        <f t="shared" si="6"/>
        <v>0</v>
      </c>
      <c r="BM30" s="206"/>
      <c r="BN30" s="206"/>
      <c r="BO30" s="209">
        <f t="shared" si="4"/>
        <v>0</v>
      </c>
      <c r="BP30" s="210"/>
      <c r="BR30" s="212" t="str">
        <f>IF($H30="","",VLOOKUP($H30,'Master Data'!$B:$D,3,FALSE))</f>
        <v>Membership &amp; Sponsorship</v>
      </c>
      <c r="BS30" s="212" t="str">
        <f t="shared" si="7"/>
        <v>General Administrative</v>
      </c>
      <c r="BT30" s="212" t="str">
        <f>IF($H30="","",VLOOKUP(VALUE($H30),'Master Data'!B:I,8,FALSE))</f>
        <v>Subscriptions and Periodicals</v>
      </c>
    </row>
    <row r="31" spans="1:72" s="211" customFormat="1" x14ac:dyDescent="0.35">
      <c r="A31" s="188" t="str">
        <f>IF(D31="","",Cover!$D$8)</f>
        <v>PD Office</v>
      </c>
      <c r="B31" s="138" t="str">
        <f>IF(D31="","",IFERROR(VLOOKUP(G31,'Master Data'!$E$59:$J$144,6,FALSE),0))</f>
        <v>Internal Audit</v>
      </c>
      <c r="C31" s="353" t="str">
        <f>IF(D31="","",_xlfn.XLOOKUP(D31,'Activity Master Opex'!C:C,'Activity Master Opex'!B:B,0,0,1))</f>
        <v>IA001-00001</v>
      </c>
      <c r="D31" s="190" t="s">
        <v>720</v>
      </c>
      <c r="E31" s="189" t="str">
        <f>IF(D31="","",IFERROR(VLOOKUP(D31,'Activity Master Opex'!$C:$M,6,FALSE),0))</f>
        <v>Business trip for training/seminar</v>
      </c>
      <c r="F31" s="191" t="str">
        <f>IF($C31="","",VLOOKUP($C31,'Activity Master Opex'!$B:$I,3,0))</f>
        <v>10301IA001</v>
      </c>
      <c r="G31" s="189" t="str">
        <f>IF($C31="","",VLOOKUP($F31,'Master Data'!$D$59:$E$147,2,FALSE))</f>
        <v>INTERNAL AUDIT</v>
      </c>
      <c r="H31" s="192">
        <f>IF($C31="","",VLOOKUP($C31,'Activity Master Opex'!$B:$I,5,0))</f>
        <v>62400030</v>
      </c>
      <c r="I31" s="188" t="str">
        <f>IFERROR(VLOOKUP(H31,'Activity Master Opex'!$F:$G,2,FALSE),"")</f>
        <v>Gen. Transp. Travelling Expenses</v>
      </c>
      <c r="J31" s="214">
        <f>809*15500</f>
        <v>12539500</v>
      </c>
      <c r="K31" s="193">
        <v>0</v>
      </c>
      <c r="L31" s="194"/>
      <c r="M31" s="194"/>
      <c r="N31" s="194"/>
      <c r="O31" s="194"/>
      <c r="P31" s="194"/>
      <c r="Q31" s="194"/>
      <c r="R31" s="194"/>
      <c r="S31" s="194"/>
      <c r="T31" s="194"/>
      <c r="U31" s="194"/>
      <c r="V31" s="194"/>
      <c r="W31" s="194"/>
      <c r="X31" s="195">
        <f t="shared" si="9"/>
        <v>0</v>
      </c>
      <c r="Y31" s="196"/>
      <c r="Z31" s="148"/>
      <c r="AA31" s="148"/>
      <c r="AB31" s="148"/>
      <c r="AC31" s="148"/>
      <c r="AD31" s="148"/>
      <c r="AE31" s="148"/>
      <c r="AF31" s="148"/>
      <c r="AG31" s="148"/>
      <c r="AH31" s="148"/>
      <c r="AI31" s="148"/>
      <c r="AJ31" s="148"/>
      <c r="AK31" s="148"/>
      <c r="AL31" s="197">
        <f t="shared" si="0"/>
        <v>0</v>
      </c>
      <c r="AM31" s="198"/>
      <c r="AN31" s="148"/>
      <c r="AO31" s="148"/>
      <c r="AP31" s="148"/>
      <c r="AQ31" s="148"/>
      <c r="AR31" s="148"/>
      <c r="AS31" s="148"/>
      <c r="AT31" s="148"/>
      <c r="AU31" s="148"/>
      <c r="AV31" s="148"/>
      <c r="AW31" s="148"/>
      <c r="AX31" s="148"/>
      <c r="AY31" s="148"/>
      <c r="AZ31" s="197">
        <f t="shared" si="1"/>
        <v>0</v>
      </c>
      <c r="BA31" s="199">
        <f t="shared" si="2"/>
        <v>-12539500</v>
      </c>
      <c r="BB31" s="200"/>
      <c r="BC31" s="201">
        <f t="shared" si="3"/>
        <v>0</v>
      </c>
      <c r="BD31" s="202" t="str">
        <f>IF('Budget Opex Detail'!C31="","",IF(COUNTIFS('Activity Master Opex'!$B$4:$B$172,'Budget Opex Detail'!$C31)&gt;0,"","New Activity"))</f>
        <v/>
      </c>
      <c r="BE31" s="203"/>
      <c r="BF31" s="204"/>
      <c r="BG31" s="205"/>
      <c r="BH31" s="206"/>
      <c r="BI31" s="207"/>
      <c r="BJ31" s="207"/>
      <c r="BK31" s="208"/>
      <c r="BL31" s="153">
        <f t="shared" si="6"/>
        <v>0</v>
      </c>
      <c r="BM31" s="206"/>
      <c r="BN31" s="206"/>
      <c r="BO31" s="209">
        <f t="shared" si="4"/>
        <v>0</v>
      </c>
      <c r="BP31" s="210"/>
      <c r="BR31" s="212" t="str">
        <f>IF($H31="","",VLOOKUP($H31,'Master Data'!$B:$D,3,FALSE))</f>
        <v>General Transportation Exp</v>
      </c>
      <c r="BS31" s="212" t="str">
        <f t="shared" si="7"/>
        <v>General Administrative</v>
      </c>
      <c r="BT31" s="212" t="str">
        <f>IF($H31="","",VLOOKUP(VALUE($H31),'Master Data'!B:I,8,FALSE))</f>
        <v>General transportation</v>
      </c>
    </row>
    <row r="32" spans="1:72" s="211" customFormat="1" x14ac:dyDescent="0.35">
      <c r="A32" s="188" t="str">
        <f>IF(D32="","",Cover!$D$8)</f>
        <v>PD Office</v>
      </c>
      <c r="B32" s="138" t="str">
        <f>IF(D32="","",IFERROR(VLOOKUP(G32,'Master Data'!$E$59:$J$144,6,FALSE),0))</f>
        <v>Internal Audit</v>
      </c>
      <c r="C32" s="353" t="str">
        <f>IF(D32="","",_xlfn.XLOOKUP(D32,'Activity Master Opex'!C:C,'Activity Master Opex'!B:B,0,0,1))</f>
        <v>IA001-00002</v>
      </c>
      <c r="D32" s="190" t="s">
        <v>710</v>
      </c>
      <c r="E32" s="189" t="str">
        <f>IF(D32="","",IFERROR(VLOOKUP(D32,'Activity Master Opex'!$C:$M,6,FALSE),0))</f>
        <v>Renewal Membership - Internal Audit Profession (IIA Indonesia)</v>
      </c>
      <c r="F32" s="191" t="str">
        <f>IF($C32="","",VLOOKUP($C32,'Activity Master Opex'!$B:$I,3,0))</f>
        <v>10301IA001</v>
      </c>
      <c r="G32" s="189" t="str">
        <f>IF($C32="","",VLOOKUP($F32,'Master Data'!$D$59:$E$147,2,FALSE))</f>
        <v>INTERNAL AUDIT</v>
      </c>
      <c r="H32" s="192">
        <f>IF($C32="","",VLOOKUP($C32,'Activity Master Opex'!$B:$I,5,0))</f>
        <v>62900010</v>
      </c>
      <c r="I32" s="188" t="str">
        <f>IFERROR(VLOOKUP(H32,'Activity Master Opex'!$F:$G,2,FALSE),"")</f>
        <v>Association and Membership</v>
      </c>
      <c r="J32" s="193">
        <f>129*15500</f>
        <v>1999500</v>
      </c>
      <c r="K32" s="193">
        <v>0</v>
      </c>
      <c r="L32" s="194"/>
      <c r="M32" s="194"/>
      <c r="N32" s="194"/>
      <c r="O32" s="194"/>
      <c r="P32" s="194"/>
      <c r="Q32" s="194"/>
      <c r="R32" s="194"/>
      <c r="S32" s="194"/>
      <c r="T32" s="194"/>
      <c r="U32" s="194"/>
      <c r="V32" s="194"/>
      <c r="W32" s="194"/>
      <c r="X32" s="195">
        <f t="shared" si="9"/>
        <v>0</v>
      </c>
      <c r="Y32" s="196"/>
      <c r="Z32" s="148"/>
      <c r="AA32" s="148"/>
      <c r="AB32" s="148"/>
      <c r="AC32" s="148"/>
      <c r="AD32" s="148"/>
      <c r="AE32" s="148"/>
      <c r="AF32" s="148"/>
      <c r="AG32" s="148"/>
      <c r="AH32" s="148"/>
      <c r="AI32" s="148"/>
      <c r="AJ32" s="148"/>
      <c r="AK32" s="148"/>
      <c r="AL32" s="197">
        <f t="shared" si="0"/>
        <v>0</v>
      </c>
      <c r="AM32" s="198"/>
      <c r="AN32" s="148"/>
      <c r="AO32" s="148"/>
      <c r="AP32" s="148"/>
      <c r="AQ32" s="148"/>
      <c r="AR32" s="148"/>
      <c r="AS32" s="148"/>
      <c r="AT32" s="148"/>
      <c r="AU32" s="148"/>
      <c r="AV32" s="148"/>
      <c r="AW32" s="148"/>
      <c r="AX32" s="148"/>
      <c r="AY32" s="148"/>
      <c r="AZ32" s="197">
        <f t="shared" si="1"/>
        <v>0</v>
      </c>
      <c r="BA32" s="199">
        <f t="shared" si="2"/>
        <v>-1999500</v>
      </c>
      <c r="BB32" s="200"/>
      <c r="BC32" s="201">
        <f t="shared" si="3"/>
        <v>0</v>
      </c>
      <c r="BD32" s="202" t="str">
        <f>IF('Budget Opex Detail'!C32="","",IF(COUNTIFS('Activity Master Opex'!$B$4:$B$172,'Budget Opex Detail'!$C32)&gt;0,"","New Activity"))</f>
        <v/>
      </c>
      <c r="BE32" s="203"/>
      <c r="BF32" s="204"/>
      <c r="BG32" s="205"/>
      <c r="BH32" s="206"/>
      <c r="BI32" s="207"/>
      <c r="BJ32" s="207"/>
      <c r="BK32" s="208"/>
      <c r="BL32" s="153">
        <f t="shared" si="6"/>
        <v>0</v>
      </c>
      <c r="BM32" s="206"/>
      <c r="BN32" s="206"/>
      <c r="BO32" s="209">
        <f t="shared" si="4"/>
        <v>0</v>
      </c>
      <c r="BP32" s="210"/>
      <c r="BR32" s="212" t="str">
        <f>IF($H32="","",VLOOKUP($H32,'Master Data'!$B:$D,3,FALSE))</f>
        <v>Membership &amp; Sponsorship</v>
      </c>
      <c r="BS32" s="212" t="str">
        <f t="shared" si="7"/>
        <v>General Administrative</v>
      </c>
      <c r="BT32" s="212" t="str">
        <f>IF($H32="","",VLOOKUP(VALUE($H32),'Master Data'!B:I,8,FALSE))</f>
        <v>Association and Membership</v>
      </c>
    </row>
    <row r="33" spans="1:72" s="211" customFormat="1" x14ac:dyDescent="0.35">
      <c r="A33" s="188" t="str">
        <f>IF(D33="","",Cover!$D$8)</f>
        <v>PD Office</v>
      </c>
      <c r="B33" s="138" t="str">
        <f>IF(D33="","",IFERROR(VLOOKUP(G33,'Master Data'!$E$59:$J$144,6,FALSE),0))</f>
        <v>Internal Audit</v>
      </c>
      <c r="C33" s="353" t="str">
        <f>IF(D33="","",_xlfn.XLOOKUP(D33,'Activity Master Opex'!C:C,'Activity Master Opex'!B:B,0,0,1))</f>
        <v>IA001-00005</v>
      </c>
      <c r="D33" s="190" t="s">
        <v>711</v>
      </c>
      <c r="E33" s="189" t="str">
        <f>IF(D33="","",IFERROR(VLOOKUP(D33,'Activity Master Opex'!$C:$M,6,FALSE),0))</f>
        <v>JSOX Consultant</v>
      </c>
      <c r="F33" s="191" t="str">
        <f>IF($C33="","",VLOOKUP($C33,'Activity Master Opex'!$B:$I,3,0))</f>
        <v>10301IA001</v>
      </c>
      <c r="G33" s="189" t="str">
        <f>IF($C33="","",VLOOKUP($F33,'Master Data'!$D$59:$E$147,2,FALSE))</f>
        <v>INTERNAL AUDIT</v>
      </c>
      <c r="H33" s="192">
        <f>IF($C33="","",VLOOKUP($C33,'Activity Master Opex'!$B:$I,5,0))</f>
        <v>61900090</v>
      </c>
      <c r="I33" s="188" t="str">
        <f>IFERROR(VLOOKUP(H33,'Activity Master Opex'!$F:$G,2,FALSE),"")</f>
        <v>PF - Other Professional Fees</v>
      </c>
      <c r="J33" s="193">
        <f>603225.8*15500</f>
        <v>9349999900</v>
      </c>
      <c r="K33" s="193">
        <v>2505473000</v>
      </c>
      <c r="L33" s="194"/>
      <c r="M33" s="194"/>
      <c r="N33" s="194"/>
      <c r="O33" s="194"/>
      <c r="P33" s="194"/>
      <c r="Q33" s="194"/>
      <c r="R33" s="194"/>
      <c r="S33" s="194"/>
      <c r="T33" s="194"/>
      <c r="U33" s="194"/>
      <c r="V33" s="194"/>
      <c r="W33" s="194"/>
      <c r="X33" s="195">
        <f t="shared" si="9"/>
        <v>0</v>
      </c>
      <c r="Y33" s="196"/>
      <c r="Z33" s="148"/>
      <c r="AA33" s="148"/>
      <c r="AB33" s="148"/>
      <c r="AC33" s="148"/>
      <c r="AD33" s="148"/>
      <c r="AE33" s="148"/>
      <c r="AF33" s="148"/>
      <c r="AG33" s="148"/>
      <c r="AH33" s="148"/>
      <c r="AI33" s="148"/>
      <c r="AJ33" s="148"/>
      <c r="AK33" s="148"/>
      <c r="AL33" s="197">
        <f t="shared" si="0"/>
        <v>0</v>
      </c>
      <c r="AM33" s="198"/>
      <c r="AN33" s="148"/>
      <c r="AO33" s="148"/>
      <c r="AP33" s="148"/>
      <c r="AQ33" s="148"/>
      <c r="AR33" s="148"/>
      <c r="AS33" s="148"/>
      <c r="AT33" s="148"/>
      <c r="AU33" s="148"/>
      <c r="AV33" s="148"/>
      <c r="AW33" s="148"/>
      <c r="AX33" s="148"/>
      <c r="AY33" s="148"/>
      <c r="AZ33" s="197">
        <f t="shared" si="1"/>
        <v>0</v>
      </c>
      <c r="BA33" s="199">
        <f t="shared" si="2"/>
        <v>-9349999900</v>
      </c>
      <c r="BB33" s="200"/>
      <c r="BC33" s="201">
        <f t="shared" si="3"/>
        <v>0</v>
      </c>
      <c r="BD33" s="202" t="str">
        <f>IF('Budget Opex Detail'!C33="","",IF(COUNTIFS('Activity Master Opex'!$B$4:$B$172,'Budget Opex Detail'!$C33)&gt;0,"","New Activity"))</f>
        <v/>
      </c>
      <c r="BE33" s="203"/>
      <c r="BF33" s="204"/>
      <c r="BG33" s="205"/>
      <c r="BH33" s="206"/>
      <c r="BI33" s="207"/>
      <c r="BJ33" s="207"/>
      <c r="BK33" s="208"/>
      <c r="BL33" s="153">
        <f t="shared" si="6"/>
        <v>0</v>
      </c>
      <c r="BM33" s="206"/>
      <c r="BN33" s="206"/>
      <c r="BO33" s="209">
        <f t="shared" si="4"/>
        <v>0</v>
      </c>
      <c r="BP33" s="210"/>
      <c r="BR33" s="212" t="str">
        <f>IF($H33="","",VLOOKUP($H33,'Master Data'!$B:$D,3,FALSE))</f>
        <v>Professional Fees</v>
      </c>
      <c r="BS33" s="212" t="str">
        <f t="shared" si="7"/>
        <v>General Administrative</v>
      </c>
      <c r="BT33" s="212" t="str">
        <f>IF($H33="","",VLOOKUP(VALUE($H33),'Master Data'!B:I,8,FALSE))</f>
        <v>Professional fees</v>
      </c>
    </row>
    <row r="34" spans="1:72" s="211" customFormat="1" x14ac:dyDescent="0.35">
      <c r="A34" s="188" t="str">
        <f>IF(D34="","",Cover!$D$8)</f>
        <v>PD Office</v>
      </c>
      <c r="B34" s="138" t="s">
        <v>616</v>
      </c>
      <c r="C34" s="353" t="str">
        <f>IF(D34="","",_xlfn.XLOOKUP(D34,'Activity Master Opex'!C:C,'Activity Master Opex'!B:B,0,0,1))</f>
        <v>MS010-00004</v>
      </c>
      <c r="D34" s="190" t="s">
        <v>1261</v>
      </c>
      <c r="E34" s="189" t="str">
        <f>IF(D34="","",IFERROR(VLOOKUP(D34,'Activity Master Opex'!$C:$M,6,FALSE),0))</f>
        <v>ESG Roadmap &amp; Decarbonization Plan</v>
      </c>
      <c r="F34" s="191" t="str">
        <f>IF($C34="","",VLOOKUP($C34,'Activity Master Opex'!$B:$I,3,0))</f>
        <v>10301MS010</v>
      </c>
      <c r="G34" s="189" t="str">
        <f>IF($C34="","",VLOOKUP($F34,'Master Data'!$D$59:$E$147,2,FALSE))</f>
        <v>GOVERNMENT PROJECT - CONSULTING SERVICES</v>
      </c>
      <c r="H34" s="192">
        <f>IF($C34="","",VLOOKUP($C34,'Activity Master Opex'!$B:$I,5,0))</f>
        <v>61900090</v>
      </c>
      <c r="I34" s="188" t="str">
        <f>IFERROR(VLOOKUP(H34,'Activity Master Opex'!$F:$G,2,FALSE),"")</f>
        <v>PF - Other Professional Fees</v>
      </c>
      <c r="J34" s="193">
        <v>1570026000</v>
      </c>
      <c r="K34" s="193">
        <v>600000000</v>
      </c>
      <c r="L34" s="194"/>
      <c r="M34" s="194"/>
      <c r="N34" s="194"/>
      <c r="O34" s="194"/>
      <c r="P34" s="194"/>
      <c r="Q34" s="194"/>
      <c r="R34" s="194"/>
      <c r="S34" s="194"/>
      <c r="T34" s="194"/>
      <c r="U34" s="194"/>
      <c r="V34" s="194"/>
      <c r="W34" s="194"/>
      <c r="X34" s="195">
        <f t="shared" si="9"/>
        <v>0</v>
      </c>
      <c r="Y34" s="196"/>
      <c r="Z34" s="148"/>
      <c r="AA34" s="148"/>
      <c r="AB34" s="148"/>
      <c r="AC34" s="148"/>
      <c r="AD34" s="148"/>
      <c r="AE34" s="148"/>
      <c r="AF34" s="148"/>
      <c r="AG34" s="148"/>
      <c r="AH34" s="148"/>
      <c r="AI34" s="148"/>
      <c r="AJ34" s="148"/>
      <c r="AK34" s="148"/>
      <c r="AL34" s="197">
        <f t="shared" si="0"/>
        <v>0</v>
      </c>
      <c r="AM34" s="198"/>
      <c r="AN34" s="148"/>
      <c r="AO34" s="148"/>
      <c r="AP34" s="148"/>
      <c r="AQ34" s="148"/>
      <c r="AR34" s="148"/>
      <c r="AS34" s="148"/>
      <c r="AT34" s="148"/>
      <c r="AU34" s="148"/>
      <c r="AV34" s="148"/>
      <c r="AW34" s="148"/>
      <c r="AX34" s="148"/>
      <c r="AY34" s="148"/>
      <c r="AZ34" s="197">
        <f t="shared" si="1"/>
        <v>0</v>
      </c>
      <c r="BA34" s="199">
        <f t="shared" si="2"/>
        <v>-1570026000</v>
      </c>
      <c r="BB34" s="200"/>
      <c r="BC34" s="201">
        <f t="shared" si="3"/>
        <v>0</v>
      </c>
      <c r="BD34" s="202" t="str">
        <f>IF('Budget Opex Detail'!C34="","",IF(COUNTIFS('Activity Master Opex'!$B$4:$B$172,'Budget Opex Detail'!$C34)&gt;0,"","New Activity"))</f>
        <v/>
      </c>
      <c r="BE34" s="203"/>
      <c r="BF34" s="204"/>
      <c r="BG34" s="205"/>
      <c r="BH34" s="206"/>
      <c r="BI34" s="207"/>
      <c r="BJ34" s="207"/>
      <c r="BK34" s="208"/>
      <c r="BL34" s="153">
        <f t="shared" si="6"/>
        <v>0</v>
      </c>
      <c r="BM34" s="206"/>
      <c r="BN34" s="206"/>
      <c r="BO34" s="209">
        <f t="shared" si="4"/>
        <v>0</v>
      </c>
      <c r="BP34" s="210"/>
      <c r="BR34" s="212" t="str">
        <f>IF($H34="","",VLOOKUP($H34,'Master Data'!$B:$D,3,FALSE))</f>
        <v>Professional Fees</v>
      </c>
      <c r="BS34" s="212" t="str">
        <f t="shared" si="7"/>
        <v>General Administrative</v>
      </c>
      <c r="BT34" s="212" t="str">
        <f>IF($H34="","",VLOOKUP(VALUE($H34),'Master Data'!B:I,8,FALSE))</f>
        <v>Professional fees</v>
      </c>
    </row>
    <row r="35" spans="1:72" s="211" customFormat="1" x14ac:dyDescent="0.35">
      <c r="A35" s="188" t="str">
        <f>IF(D35="","",Cover!$D$8)</f>
        <v>PD Office</v>
      </c>
      <c r="B35" s="138" t="s">
        <v>616</v>
      </c>
      <c r="C35" s="353" t="str">
        <f>IF(D35="","",_xlfn.XLOOKUP(D35,'Activity Master Opex'!C:C,'Activity Master Opex'!B:B,0,0,1))</f>
        <v>MS010-00006</v>
      </c>
      <c r="D35" s="190" t="s">
        <v>1293</v>
      </c>
      <c r="E35" s="189" t="str">
        <f>IF(D35="","",IFERROR(VLOOKUP(D35,'Activity Master Opex'!$C:$M,6,FALSE),0))</f>
        <v>Green Industry Certificate</v>
      </c>
      <c r="F35" s="191" t="str">
        <f>IF($C35="","",VLOOKUP($C35,'Activity Master Opex'!$B:$I,3,0))</f>
        <v>10301MS010</v>
      </c>
      <c r="G35" s="189" t="str">
        <f>IF($C35="","",VLOOKUP($F35,'Master Data'!$D$59:$E$147,2,FALSE))</f>
        <v>GOVERNMENT PROJECT - CONSULTING SERVICES</v>
      </c>
      <c r="H35" s="192">
        <f>IF($C35="","",VLOOKUP($C35,'Activity Master Opex'!$B:$I,5,0))</f>
        <v>61900090</v>
      </c>
      <c r="I35" s="188" t="str">
        <f>IFERROR(VLOOKUP(H35,'Activity Master Opex'!$F:$G,2,FALSE),"")</f>
        <v>PF - Other Professional Fees</v>
      </c>
      <c r="J35" s="193">
        <v>999998000</v>
      </c>
      <c r="K35" s="193">
        <v>0</v>
      </c>
      <c r="L35" s="194"/>
      <c r="M35" s="194"/>
      <c r="N35" s="194"/>
      <c r="O35" s="194"/>
      <c r="P35" s="194"/>
      <c r="Q35" s="194"/>
      <c r="R35" s="194"/>
      <c r="S35" s="194"/>
      <c r="T35" s="194"/>
      <c r="U35" s="194"/>
      <c r="V35" s="194"/>
      <c r="W35" s="194"/>
      <c r="X35" s="195">
        <f t="shared" si="9"/>
        <v>0</v>
      </c>
      <c r="Y35" s="196"/>
      <c r="Z35" s="148"/>
      <c r="AA35" s="148"/>
      <c r="AB35" s="148"/>
      <c r="AC35" s="148"/>
      <c r="AD35" s="148"/>
      <c r="AE35" s="148"/>
      <c r="AF35" s="148"/>
      <c r="AG35" s="148"/>
      <c r="AH35" s="148"/>
      <c r="AI35" s="148"/>
      <c r="AJ35" s="148"/>
      <c r="AK35" s="148"/>
      <c r="AL35" s="197">
        <f t="shared" si="0"/>
        <v>0</v>
      </c>
      <c r="AM35" s="198"/>
      <c r="AN35" s="148"/>
      <c r="AO35" s="148"/>
      <c r="AP35" s="148"/>
      <c r="AQ35" s="148"/>
      <c r="AR35" s="148"/>
      <c r="AS35" s="148"/>
      <c r="AT35" s="148"/>
      <c r="AU35" s="148"/>
      <c r="AV35" s="148"/>
      <c r="AW35" s="148"/>
      <c r="AX35" s="148"/>
      <c r="AY35" s="148"/>
      <c r="AZ35" s="197">
        <f t="shared" si="1"/>
        <v>0</v>
      </c>
      <c r="BA35" s="199">
        <f t="shared" si="2"/>
        <v>-999998000</v>
      </c>
      <c r="BB35" s="200"/>
      <c r="BC35" s="201">
        <f t="shared" si="3"/>
        <v>0</v>
      </c>
      <c r="BD35" s="202" t="str">
        <f>IF('Budget Opex Detail'!C35="","",IF(COUNTIFS('Activity Master Opex'!$B$4:$B$172,'Budget Opex Detail'!$C35)&gt;0,"","New Activity"))</f>
        <v/>
      </c>
      <c r="BE35" s="203"/>
      <c r="BF35" s="204"/>
      <c r="BG35" s="205"/>
      <c r="BH35" s="206"/>
      <c r="BI35" s="207"/>
      <c r="BJ35" s="207"/>
      <c r="BK35" s="208"/>
      <c r="BL35" s="153">
        <f t="shared" si="6"/>
        <v>0</v>
      </c>
      <c r="BM35" s="206"/>
      <c r="BN35" s="206"/>
      <c r="BO35" s="209">
        <f t="shared" si="4"/>
        <v>0</v>
      </c>
      <c r="BP35" s="210"/>
      <c r="BR35" s="212" t="str">
        <f>IF($H35="","",VLOOKUP($H35,'Master Data'!$B:$D,3,FALSE))</f>
        <v>Professional Fees</v>
      </c>
      <c r="BS35" s="212" t="str">
        <f t="shared" si="7"/>
        <v>General Administrative</v>
      </c>
      <c r="BT35" s="212" t="str">
        <f>IF($H35="","",VLOOKUP(VALUE($H35),'Master Data'!B:I,8,FALSE))</f>
        <v>Professional fees</v>
      </c>
    </row>
    <row r="36" spans="1:72" s="211" customFormat="1" x14ac:dyDescent="0.35">
      <c r="A36" s="188" t="str">
        <f>IF(D36="","",Cover!$D$8)</f>
        <v/>
      </c>
      <c r="B36" s="138" t="str">
        <f>IF(D36="","",IFERROR(VLOOKUP(G36,'Master Data'!$E$59:$J$144,6,FALSE),0))</f>
        <v/>
      </c>
      <c r="C36" s="353" t="str">
        <f>IF(D36="","",_xlfn.XLOOKUP(D36,'Activity Master Opex'!C:C,'Activity Master Opex'!B:B,0,0,1))</f>
        <v/>
      </c>
      <c r="D36" s="190"/>
      <c r="E36" s="189" t="str">
        <f>IF(D36="","",IFERROR(VLOOKUP(D36,'Activity Master Opex'!$C:$M,6,FALSE),0))</f>
        <v/>
      </c>
      <c r="F36" s="191" t="str">
        <f>IF($C36="","",VLOOKUP($C36,'Activity Master Opex'!$B:$I,3,0))</f>
        <v/>
      </c>
      <c r="G36" s="189" t="str">
        <f>IF($C36="","",VLOOKUP($F36,'Master Data'!$D$59:$E$147,2,FALSE))</f>
        <v/>
      </c>
      <c r="H36" s="191" t="str">
        <f>IF($C36="","",VLOOKUP($C36,'Activity Master Opex'!$B:$I,5,0))</f>
        <v/>
      </c>
      <c r="I36" s="188" t="str">
        <f>IFERROR(VLOOKUP(H36,'Activity Master Opex'!$F:$G,2,FALSE),"")</f>
        <v/>
      </c>
      <c r="J36" s="193">
        <v>0</v>
      </c>
      <c r="K36" s="193">
        <v>0</v>
      </c>
      <c r="L36" s="194"/>
      <c r="M36" s="194"/>
      <c r="N36" s="194"/>
      <c r="O36" s="194"/>
      <c r="P36" s="194"/>
      <c r="Q36" s="194"/>
      <c r="R36" s="194"/>
      <c r="S36" s="194"/>
      <c r="T36" s="194"/>
      <c r="U36" s="194"/>
      <c r="V36" s="194"/>
      <c r="W36" s="194"/>
      <c r="X36" s="195">
        <f t="shared" si="9"/>
        <v>0</v>
      </c>
      <c r="Y36" s="196"/>
      <c r="Z36" s="148"/>
      <c r="AA36" s="148"/>
      <c r="AB36" s="148"/>
      <c r="AC36" s="148"/>
      <c r="AD36" s="148"/>
      <c r="AE36" s="148"/>
      <c r="AF36" s="148"/>
      <c r="AG36" s="148"/>
      <c r="AH36" s="148"/>
      <c r="AI36" s="148"/>
      <c r="AJ36" s="148"/>
      <c r="AK36" s="148"/>
      <c r="AL36" s="197">
        <f t="shared" si="0"/>
        <v>0</v>
      </c>
      <c r="AM36" s="198"/>
      <c r="AN36" s="148"/>
      <c r="AO36" s="148"/>
      <c r="AP36" s="148"/>
      <c r="AQ36" s="148"/>
      <c r="AR36" s="148"/>
      <c r="AS36" s="148"/>
      <c r="AT36" s="148"/>
      <c r="AU36" s="148"/>
      <c r="AV36" s="148"/>
      <c r="AW36" s="148"/>
      <c r="AX36" s="148"/>
      <c r="AY36" s="148"/>
      <c r="AZ36" s="197">
        <f t="shared" si="1"/>
        <v>0</v>
      </c>
      <c r="BA36" s="199">
        <f t="shared" si="2"/>
        <v>0</v>
      </c>
      <c r="BB36" s="200"/>
      <c r="BC36" s="201">
        <f t="shared" si="3"/>
        <v>0</v>
      </c>
      <c r="BD36" s="202" t="str">
        <f>IF('Budget Opex Detail'!C36="","",IF(COUNTIFS('Activity Master Opex'!$B$4:$B$172,'Budget Opex Detail'!$C36)&gt;0,"","New Activity"))</f>
        <v/>
      </c>
      <c r="BE36" s="203"/>
      <c r="BF36" s="204"/>
      <c r="BG36" s="205"/>
      <c r="BH36" s="206"/>
      <c r="BI36" s="207"/>
      <c r="BJ36" s="207"/>
      <c r="BK36" s="208"/>
      <c r="BL36" s="153">
        <f t="shared" si="6"/>
        <v>0</v>
      </c>
      <c r="BM36" s="206"/>
      <c r="BN36" s="206"/>
      <c r="BO36" s="209">
        <f t="shared" si="4"/>
        <v>0</v>
      </c>
      <c r="BP36" s="210"/>
      <c r="BR36" s="212" t="str">
        <f>IF($H36="","",VLOOKUP($H36,'Master Data'!$B:$D,3,FALSE))</f>
        <v/>
      </c>
      <c r="BS36" s="212" t="str">
        <f t="shared" si="7"/>
        <v/>
      </c>
      <c r="BT36" s="212" t="str">
        <f>IF($H36="","",VLOOKUP(VALUE($H36),'Master Data'!B:I,8,FALSE))</f>
        <v/>
      </c>
    </row>
    <row r="37" spans="1:72" s="211" customFormat="1" x14ac:dyDescent="0.35">
      <c r="A37" s="188" t="str">
        <f>IF(D37="","",Cover!$D$8)</f>
        <v/>
      </c>
      <c r="B37" s="138" t="str">
        <f>IF(D37="","",IFERROR(VLOOKUP(G37,'Master Data'!$E$59:$J$144,6,FALSE),0))</f>
        <v/>
      </c>
      <c r="C37" s="353" t="str">
        <f>IF(D37="","",_xlfn.XLOOKUP(D37,'Activity Master Opex'!C:C,'Activity Master Opex'!B:B,0,0,1))</f>
        <v/>
      </c>
      <c r="D37" s="190"/>
      <c r="E37" s="189" t="str">
        <f>IF(D37="","",IFERROR(VLOOKUP(D37,'Activity Master Opex'!$C:$M,6,FALSE),0))</f>
        <v/>
      </c>
      <c r="F37" s="191" t="str">
        <f>IF($C37="","",VLOOKUP($C37,'Activity Master Opex'!$B:$I,3,0))</f>
        <v/>
      </c>
      <c r="G37" s="189" t="str">
        <f>IF($C37="","",VLOOKUP($F37,'Master Data'!$D$59:$E$147,2,FALSE))</f>
        <v/>
      </c>
      <c r="H37" s="191" t="str">
        <f>IF($C37="","",VLOOKUP($C37,'Activity Master Opex'!$B:$I,5,0))</f>
        <v/>
      </c>
      <c r="I37" s="188" t="str">
        <f>IFERROR(VLOOKUP(H37,'Activity Master Opex'!$F:$G,2,FALSE),"")</f>
        <v/>
      </c>
      <c r="J37" s="193">
        <v>0</v>
      </c>
      <c r="K37" s="193">
        <v>0</v>
      </c>
      <c r="L37" s="194"/>
      <c r="M37" s="194"/>
      <c r="N37" s="194"/>
      <c r="O37" s="194"/>
      <c r="P37" s="194"/>
      <c r="Q37" s="194"/>
      <c r="R37" s="194"/>
      <c r="S37" s="194"/>
      <c r="T37" s="194"/>
      <c r="U37" s="194"/>
      <c r="V37" s="194"/>
      <c r="W37" s="194"/>
      <c r="X37" s="195">
        <f t="shared" si="9"/>
        <v>0</v>
      </c>
      <c r="Y37" s="196"/>
      <c r="Z37" s="148"/>
      <c r="AA37" s="148"/>
      <c r="AB37" s="148"/>
      <c r="AC37" s="148"/>
      <c r="AD37" s="148"/>
      <c r="AE37" s="148"/>
      <c r="AF37" s="148"/>
      <c r="AG37" s="148"/>
      <c r="AH37" s="148"/>
      <c r="AI37" s="148"/>
      <c r="AJ37" s="148"/>
      <c r="AK37" s="148"/>
      <c r="AL37" s="197">
        <f t="shared" si="0"/>
        <v>0</v>
      </c>
      <c r="AM37" s="198"/>
      <c r="AN37" s="148"/>
      <c r="AO37" s="148"/>
      <c r="AP37" s="148"/>
      <c r="AQ37" s="148"/>
      <c r="AR37" s="148"/>
      <c r="AS37" s="148"/>
      <c r="AT37" s="148"/>
      <c r="AU37" s="148"/>
      <c r="AV37" s="148"/>
      <c r="AW37" s="148"/>
      <c r="AX37" s="148"/>
      <c r="AY37" s="148"/>
      <c r="AZ37" s="197">
        <f t="shared" si="1"/>
        <v>0</v>
      </c>
      <c r="BA37" s="199">
        <f t="shared" si="2"/>
        <v>0</v>
      </c>
      <c r="BB37" s="200"/>
      <c r="BC37" s="201">
        <f t="shared" si="3"/>
        <v>0</v>
      </c>
      <c r="BD37" s="202" t="str">
        <f>IF('Budget Opex Detail'!C37="","",IF(COUNTIFS('Activity Master Opex'!$B$4:$B$172,'Budget Opex Detail'!$C37)&gt;0,"","New Activity"))</f>
        <v/>
      </c>
      <c r="BE37" s="203"/>
      <c r="BF37" s="204"/>
      <c r="BG37" s="205"/>
      <c r="BH37" s="206"/>
      <c r="BI37" s="207"/>
      <c r="BJ37" s="207"/>
      <c r="BK37" s="208"/>
      <c r="BL37" s="153">
        <f t="shared" si="6"/>
        <v>0</v>
      </c>
      <c r="BM37" s="206"/>
      <c r="BN37" s="206"/>
      <c r="BO37" s="209">
        <f t="shared" si="4"/>
        <v>0</v>
      </c>
      <c r="BP37" s="210"/>
      <c r="BR37" s="212" t="str">
        <f>IF($H37="","",VLOOKUP($H37,'Master Data'!$B:$D,3,FALSE))</f>
        <v/>
      </c>
      <c r="BS37" s="212" t="str">
        <f t="shared" si="7"/>
        <v/>
      </c>
      <c r="BT37" s="212" t="str">
        <f>IF($H37="","",VLOOKUP(VALUE($H37),'Master Data'!B:I,8,FALSE))</f>
        <v/>
      </c>
    </row>
    <row r="38" spans="1:72" s="211" customFormat="1" x14ac:dyDescent="0.35">
      <c r="A38" s="188" t="str">
        <f>IF(D38="","",Cover!$D$8)</f>
        <v/>
      </c>
      <c r="B38" s="138" t="str">
        <f>IF(D38="","",IFERROR(VLOOKUP(G38,'Master Data'!$E$59:$J$144,6,FALSE),0))</f>
        <v/>
      </c>
      <c r="C38" s="353" t="str">
        <f>IF(D38="","",_xlfn.XLOOKUP(D38,'Activity Master Opex'!C:C,'Activity Master Opex'!B:B,0,0,1))</f>
        <v/>
      </c>
      <c r="D38" s="190"/>
      <c r="E38" s="189" t="str">
        <f>IF(D38="","",IFERROR(VLOOKUP(D38,'Activity Master Opex'!$C:$M,6,FALSE),0))</f>
        <v/>
      </c>
      <c r="F38" s="191" t="str">
        <f>IF($C38="","",VLOOKUP($C38,'Activity Master Opex'!$B:$I,3,0))</f>
        <v/>
      </c>
      <c r="G38" s="189" t="str">
        <f>IF($C38="","",VLOOKUP($F38,'Master Data'!$D$59:$E$147,2,FALSE))</f>
        <v/>
      </c>
      <c r="H38" s="191" t="str">
        <f>IF($C38="","",VLOOKUP($C38,'Activity Master Opex'!$B:$I,5,0))</f>
        <v/>
      </c>
      <c r="I38" s="188" t="str">
        <f>IFERROR(VLOOKUP(H38,'Activity Master Opex'!$F:$G,2,FALSE),"")</f>
        <v/>
      </c>
      <c r="J38" s="193">
        <v>0</v>
      </c>
      <c r="K38" s="193">
        <v>0</v>
      </c>
      <c r="L38" s="194"/>
      <c r="M38" s="194"/>
      <c r="N38" s="194"/>
      <c r="O38" s="194"/>
      <c r="P38" s="194"/>
      <c r="Q38" s="194"/>
      <c r="R38" s="194"/>
      <c r="S38" s="194"/>
      <c r="T38" s="194"/>
      <c r="U38" s="194"/>
      <c r="V38" s="194"/>
      <c r="W38" s="194"/>
      <c r="X38" s="195">
        <f t="shared" si="9"/>
        <v>0</v>
      </c>
      <c r="Y38" s="196"/>
      <c r="Z38" s="148"/>
      <c r="AA38" s="148"/>
      <c r="AB38" s="148"/>
      <c r="AC38" s="148"/>
      <c r="AD38" s="148"/>
      <c r="AE38" s="148"/>
      <c r="AF38" s="148"/>
      <c r="AG38" s="148"/>
      <c r="AH38" s="148"/>
      <c r="AI38" s="148"/>
      <c r="AJ38" s="148"/>
      <c r="AK38" s="148"/>
      <c r="AL38" s="197">
        <f t="shared" si="0"/>
        <v>0</v>
      </c>
      <c r="AM38" s="198"/>
      <c r="AN38" s="148"/>
      <c r="AO38" s="148"/>
      <c r="AP38" s="148"/>
      <c r="AQ38" s="148"/>
      <c r="AR38" s="148"/>
      <c r="AS38" s="148"/>
      <c r="AT38" s="148"/>
      <c r="AU38" s="148"/>
      <c r="AV38" s="148"/>
      <c r="AW38" s="148"/>
      <c r="AX38" s="148"/>
      <c r="AY38" s="148"/>
      <c r="AZ38" s="197">
        <f t="shared" si="1"/>
        <v>0</v>
      </c>
      <c r="BA38" s="199">
        <f t="shared" si="2"/>
        <v>0</v>
      </c>
      <c r="BB38" s="200"/>
      <c r="BC38" s="201">
        <f t="shared" si="3"/>
        <v>0</v>
      </c>
      <c r="BD38" s="202" t="str">
        <f>IF('Budget Opex Detail'!C38="","",IF(COUNTIFS('Activity Master Opex'!$B$4:$B$172,'Budget Opex Detail'!$C38)&gt;0,"","New Activity"))</f>
        <v/>
      </c>
      <c r="BE38" s="203"/>
      <c r="BF38" s="204"/>
      <c r="BG38" s="205"/>
      <c r="BH38" s="206"/>
      <c r="BI38" s="207"/>
      <c r="BJ38" s="207"/>
      <c r="BK38" s="208"/>
      <c r="BL38" s="153">
        <f t="shared" si="6"/>
        <v>0</v>
      </c>
      <c r="BM38" s="206"/>
      <c r="BN38" s="206"/>
      <c r="BO38" s="209">
        <f t="shared" si="4"/>
        <v>0</v>
      </c>
      <c r="BP38" s="210"/>
      <c r="BR38" s="212" t="str">
        <f>IF($H38="","",VLOOKUP($H38,'Master Data'!$B:$D,3,FALSE))</f>
        <v/>
      </c>
      <c r="BS38" s="212" t="str">
        <f t="shared" si="7"/>
        <v/>
      </c>
      <c r="BT38" s="212" t="str">
        <f>IF($H38="","",VLOOKUP(VALUE($H38),'Master Data'!B:I,8,FALSE))</f>
        <v/>
      </c>
    </row>
    <row r="39" spans="1:72" s="211" customFormat="1" x14ac:dyDescent="0.35">
      <c r="A39" s="188" t="str">
        <f>IF(D39="","",Cover!$D$8)</f>
        <v/>
      </c>
      <c r="B39" s="138" t="str">
        <f>IF(D39="","",IFERROR(VLOOKUP(G39,'Master Data'!$E$59:$J$144,6,FALSE),0))</f>
        <v/>
      </c>
      <c r="C39" s="353" t="str">
        <f>IF(D39="","",_xlfn.XLOOKUP(D39,'Activity Master Opex'!C:C,'Activity Master Opex'!B:B,0,0,1))</f>
        <v/>
      </c>
      <c r="D39" s="190"/>
      <c r="E39" s="189" t="str">
        <f>IF(D39="","",IFERROR(VLOOKUP(D39,'Activity Master Opex'!$C:$M,6,FALSE),0))</f>
        <v/>
      </c>
      <c r="F39" s="191" t="str">
        <f>IF($C39="","",VLOOKUP($C39,'Activity Master Opex'!$B:$I,3,0))</f>
        <v/>
      </c>
      <c r="G39" s="189" t="str">
        <f>IF($C39="","",VLOOKUP($F39,'Master Data'!$D$59:$E$147,2,FALSE))</f>
        <v/>
      </c>
      <c r="H39" s="191" t="str">
        <f>IF($C39="","",VLOOKUP($C39,'Activity Master Opex'!$B:$I,5,0))</f>
        <v/>
      </c>
      <c r="I39" s="188" t="str">
        <f>IFERROR(VLOOKUP(H39,'Activity Master Opex'!$F:$G,2,FALSE),"")</f>
        <v/>
      </c>
      <c r="J39" s="193">
        <v>0</v>
      </c>
      <c r="K39" s="193">
        <v>0</v>
      </c>
      <c r="L39" s="194"/>
      <c r="M39" s="194"/>
      <c r="N39" s="194"/>
      <c r="O39" s="194"/>
      <c r="P39" s="194"/>
      <c r="Q39" s="194"/>
      <c r="R39" s="194"/>
      <c r="S39" s="194"/>
      <c r="T39" s="194"/>
      <c r="U39" s="194"/>
      <c r="V39" s="194"/>
      <c r="W39" s="194"/>
      <c r="X39" s="195">
        <f t="shared" si="9"/>
        <v>0</v>
      </c>
      <c r="Y39" s="196"/>
      <c r="Z39" s="148"/>
      <c r="AA39" s="148"/>
      <c r="AB39" s="148"/>
      <c r="AC39" s="148"/>
      <c r="AD39" s="148"/>
      <c r="AE39" s="148"/>
      <c r="AF39" s="148"/>
      <c r="AG39" s="148"/>
      <c r="AH39" s="148"/>
      <c r="AI39" s="148"/>
      <c r="AJ39" s="148"/>
      <c r="AK39" s="148"/>
      <c r="AL39" s="197">
        <f t="shared" si="0"/>
        <v>0</v>
      </c>
      <c r="AM39" s="198"/>
      <c r="AN39" s="148"/>
      <c r="AO39" s="148"/>
      <c r="AP39" s="148"/>
      <c r="AQ39" s="148"/>
      <c r="AR39" s="148"/>
      <c r="AS39" s="148"/>
      <c r="AT39" s="148"/>
      <c r="AU39" s="148"/>
      <c r="AV39" s="148"/>
      <c r="AW39" s="148"/>
      <c r="AX39" s="148"/>
      <c r="AY39" s="148"/>
      <c r="AZ39" s="197">
        <f t="shared" si="1"/>
        <v>0</v>
      </c>
      <c r="BA39" s="199">
        <f t="shared" si="2"/>
        <v>0</v>
      </c>
      <c r="BB39" s="200"/>
      <c r="BC39" s="201">
        <f t="shared" si="3"/>
        <v>0</v>
      </c>
      <c r="BD39" s="202" t="str">
        <f>IF('Budget Opex Detail'!C39="","",IF(COUNTIFS('Activity Master Opex'!$B$4:$B$172,'Budget Opex Detail'!$C39)&gt;0,"","New Activity"))</f>
        <v/>
      </c>
      <c r="BE39" s="203"/>
      <c r="BF39" s="204"/>
      <c r="BG39" s="205"/>
      <c r="BH39" s="206"/>
      <c r="BI39" s="207"/>
      <c r="BJ39" s="207"/>
      <c r="BK39" s="208"/>
      <c r="BL39" s="153">
        <f t="shared" si="6"/>
        <v>0</v>
      </c>
      <c r="BM39" s="206"/>
      <c r="BN39" s="206"/>
      <c r="BO39" s="209">
        <f t="shared" si="4"/>
        <v>0</v>
      </c>
      <c r="BP39" s="210"/>
      <c r="BR39" s="212" t="str">
        <f>IF($H39="","",VLOOKUP($H39,'Master Data'!$B:$D,3,FALSE))</f>
        <v/>
      </c>
      <c r="BS39" s="212" t="str">
        <f t="shared" si="7"/>
        <v/>
      </c>
      <c r="BT39" s="212" t="str">
        <f>IF($H39="","",VLOOKUP(VALUE($H39),'Master Data'!B:I,8,FALSE))</f>
        <v/>
      </c>
    </row>
    <row r="40" spans="1:72" s="211" customFormat="1" x14ac:dyDescent="0.35">
      <c r="A40" s="188" t="str">
        <f>IF(D40="","",Cover!$D$8)</f>
        <v/>
      </c>
      <c r="B40" s="138" t="str">
        <f>IF(D40="","",IFERROR(VLOOKUP(G40,'Master Data'!$E$59:$J$144,6,FALSE),0))</f>
        <v/>
      </c>
      <c r="C40" s="353" t="str">
        <f>IF(D40="","",_xlfn.XLOOKUP(D40,'Activity Master Opex'!C:C,'Activity Master Opex'!B:B,0,0,1))</f>
        <v/>
      </c>
      <c r="D40" s="190"/>
      <c r="E40" s="189" t="str">
        <f>IF(D40="","",IFERROR(VLOOKUP(D40,'Activity Master Opex'!$C:$M,6,FALSE),0))</f>
        <v/>
      </c>
      <c r="F40" s="191" t="str">
        <f>IF($C40="","",VLOOKUP($C40,'Activity Master Opex'!$B:$I,3,0))</f>
        <v/>
      </c>
      <c r="G40" s="189" t="str">
        <f>IF($C40="","",VLOOKUP($F40,'Master Data'!$D$59:$E$147,2,FALSE))</f>
        <v/>
      </c>
      <c r="H40" s="191" t="str">
        <f>IF($C40="","",VLOOKUP($C40,'Activity Master Opex'!$B:$I,5,0))</f>
        <v/>
      </c>
      <c r="I40" s="188" t="str">
        <f>IFERROR(VLOOKUP(H40,'Activity Master Opex'!$F:$G,2,FALSE),"")</f>
        <v/>
      </c>
      <c r="J40" s="193">
        <v>0</v>
      </c>
      <c r="K40" s="193">
        <v>0</v>
      </c>
      <c r="L40" s="194"/>
      <c r="M40" s="194"/>
      <c r="N40" s="194"/>
      <c r="O40" s="194"/>
      <c r="P40" s="194"/>
      <c r="Q40" s="194"/>
      <c r="R40" s="194"/>
      <c r="S40" s="194"/>
      <c r="T40" s="194"/>
      <c r="U40" s="194"/>
      <c r="V40" s="194"/>
      <c r="W40" s="194"/>
      <c r="X40" s="195">
        <f t="shared" si="9"/>
        <v>0</v>
      </c>
      <c r="Y40" s="196"/>
      <c r="Z40" s="148"/>
      <c r="AA40" s="148"/>
      <c r="AB40" s="148"/>
      <c r="AC40" s="148"/>
      <c r="AD40" s="148"/>
      <c r="AE40" s="148"/>
      <c r="AF40" s="148"/>
      <c r="AG40" s="148"/>
      <c r="AH40" s="148"/>
      <c r="AI40" s="148"/>
      <c r="AJ40" s="148"/>
      <c r="AK40" s="148"/>
      <c r="AL40" s="197">
        <f t="shared" si="0"/>
        <v>0</v>
      </c>
      <c r="AM40" s="198"/>
      <c r="AN40" s="148"/>
      <c r="AO40" s="148"/>
      <c r="AP40" s="148"/>
      <c r="AQ40" s="148"/>
      <c r="AR40" s="148"/>
      <c r="AS40" s="148"/>
      <c r="AT40" s="148"/>
      <c r="AU40" s="148"/>
      <c r="AV40" s="148"/>
      <c r="AW40" s="148"/>
      <c r="AX40" s="148"/>
      <c r="AY40" s="148"/>
      <c r="AZ40" s="197">
        <f t="shared" si="1"/>
        <v>0</v>
      </c>
      <c r="BA40" s="199">
        <f t="shared" si="2"/>
        <v>0</v>
      </c>
      <c r="BB40" s="200"/>
      <c r="BC40" s="201">
        <f t="shared" si="3"/>
        <v>0</v>
      </c>
      <c r="BD40" s="202" t="str">
        <f>IF('Budget Opex Detail'!C40="","",IF(COUNTIFS('Activity Master Opex'!$B$4:$B$172,'Budget Opex Detail'!$C40)&gt;0,"","New Activity"))</f>
        <v/>
      </c>
      <c r="BE40" s="203"/>
      <c r="BF40" s="204"/>
      <c r="BG40" s="205"/>
      <c r="BH40" s="206"/>
      <c r="BI40" s="207"/>
      <c r="BJ40" s="207"/>
      <c r="BK40" s="208"/>
      <c r="BL40" s="153">
        <f t="shared" si="6"/>
        <v>0</v>
      </c>
      <c r="BM40" s="206"/>
      <c r="BN40" s="206"/>
      <c r="BO40" s="209">
        <f t="shared" si="4"/>
        <v>0</v>
      </c>
      <c r="BP40" s="210"/>
      <c r="BR40" s="212" t="str">
        <f>IF($H40="","",VLOOKUP($H40,'Master Data'!$B:$D,3,FALSE))</f>
        <v/>
      </c>
      <c r="BS40" s="212" t="str">
        <f t="shared" si="7"/>
        <v/>
      </c>
      <c r="BT40" s="212" t="str">
        <f>IF($H40="","",VLOOKUP(VALUE($H40),'Master Data'!B:I,8,FALSE))</f>
        <v/>
      </c>
    </row>
    <row r="41" spans="1:72" s="211" customFormat="1" x14ac:dyDescent="0.35">
      <c r="A41" s="188" t="str">
        <f>IF(D41="","",Cover!$D$8)</f>
        <v/>
      </c>
      <c r="B41" s="138" t="str">
        <f>IF(D41="","",IFERROR(VLOOKUP(G41,'Master Data'!$E$59:$J$144,6,FALSE),0))</f>
        <v/>
      </c>
      <c r="C41" s="353" t="str">
        <f>IF(D41="","",_xlfn.XLOOKUP(D41,'Activity Master Opex'!C:C,'Activity Master Opex'!B:B,0,0,1))</f>
        <v/>
      </c>
      <c r="D41" s="190"/>
      <c r="E41" s="189" t="str">
        <f>IF(D41="","",IFERROR(VLOOKUP(D41,'Activity Master Opex'!$C:$M,6,FALSE),0))</f>
        <v/>
      </c>
      <c r="F41" s="191" t="str">
        <f>IF($C41="","",VLOOKUP($C41,'Activity Master Opex'!$B:$I,3,0))</f>
        <v/>
      </c>
      <c r="G41" s="189" t="str">
        <f>IF($C41="","",VLOOKUP($F41,'Master Data'!$D$59:$E$147,2,FALSE))</f>
        <v/>
      </c>
      <c r="H41" s="191" t="str">
        <f>IF($C41="","",VLOOKUP($C41,'Activity Master Opex'!$B:$I,5,0))</f>
        <v/>
      </c>
      <c r="I41" s="188" t="str">
        <f>IFERROR(VLOOKUP(H41,'Activity Master Opex'!$F:$G,2,FALSE),"")</f>
        <v/>
      </c>
      <c r="J41" s="193">
        <v>0</v>
      </c>
      <c r="K41" s="193">
        <v>0</v>
      </c>
      <c r="L41" s="194"/>
      <c r="M41" s="194"/>
      <c r="N41" s="194"/>
      <c r="O41" s="194"/>
      <c r="P41" s="194"/>
      <c r="Q41" s="194"/>
      <c r="R41" s="194"/>
      <c r="S41" s="194"/>
      <c r="T41" s="194"/>
      <c r="U41" s="194"/>
      <c r="V41" s="194"/>
      <c r="W41" s="194"/>
      <c r="X41" s="195">
        <f t="shared" si="9"/>
        <v>0</v>
      </c>
      <c r="Y41" s="196"/>
      <c r="Z41" s="148"/>
      <c r="AA41" s="148"/>
      <c r="AB41" s="148"/>
      <c r="AC41" s="148"/>
      <c r="AD41" s="148"/>
      <c r="AE41" s="148"/>
      <c r="AF41" s="148"/>
      <c r="AG41" s="148"/>
      <c r="AH41" s="148"/>
      <c r="AI41" s="148"/>
      <c r="AJ41" s="148"/>
      <c r="AK41" s="148"/>
      <c r="AL41" s="197">
        <f t="shared" si="0"/>
        <v>0</v>
      </c>
      <c r="AM41" s="198"/>
      <c r="AN41" s="148"/>
      <c r="AO41" s="148"/>
      <c r="AP41" s="148"/>
      <c r="AQ41" s="148"/>
      <c r="AR41" s="148"/>
      <c r="AS41" s="148"/>
      <c r="AT41" s="148"/>
      <c r="AU41" s="148"/>
      <c r="AV41" s="148"/>
      <c r="AW41" s="148"/>
      <c r="AX41" s="148"/>
      <c r="AY41" s="148"/>
      <c r="AZ41" s="197">
        <f t="shared" si="1"/>
        <v>0</v>
      </c>
      <c r="BA41" s="199">
        <f t="shared" si="2"/>
        <v>0</v>
      </c>
      <c r="BB41" s="200"/>
      <c r="BC41" s="201">
        <f t="shared" si="3"/>
        <v>0</v>
      </c>
      <c r="BD41" s="202" t="str">
        <f>IF('Budget Opex Detail'!C41="","",IF(COUNTIFS('Activity Master Opex'!$B$4:$B$172,'Budget Opex Detail'!$C41)&gt;0,"","New Activity"))</f>
        <v/>
      </c>
      <c r="BE41" s="203"/>
      <c r="BF41" s="204"/>
      <c r="BG41" s="205"/>
      <c r="BH41" s="206"/>
      <c r="BI41" s="207"/>
      <c r="BJ41" s="207"/>
      <c r="BK41" s="208"/>
      <c r="BL41" s="153">
        <f t="shared" si="6"/>
        <v>0</v>
      </c>
      <c r="BM41" s="206"/>
      <c r="BN41" s="206"/>
      <c r="BO41" s="209">
        <f t="shared" si="4"/>
        <v>0</v>
      </c>
      <c r="BP41" s="210"/>
      <c r="BR41" s="212" t="str">
        <f>IF($H41="","",VLOOKUP($H41,'Master Data'!$B:$D,3,FALSE))</f>
        <v/>
      </c>
      <c r="BS41" s="212" t="str">
        <f t="shared" si="7"/>
        <v/>
      </c>
      <c r="BT41" s="212" t="str">
        <f>IF($H41="","",VLOOKUP(VALUE($H41),'Master Data'!B:I,8,FALSE))</f>
        <v/>
      </c>
    </row>
    <row r="42" spans="1:72" s="211" customFormat="1" x14ac:dyDescent="0.35">
      <c r="A42" s="188" t="str">
        <f>IF(D42="","",Cover!$D$8)</f>
        <v/>
      </c>
      <c r="B42" s="138" t="str">
        <f>IF(D42="","",IFERROR(VLOOKUP(G42,'Master Data'!$E$59:$J$144,6,FALSE),0))</f>
        <v/>
      </c>
      <c r="C42" s="353" t="str">
        <f>IF(D42="","",_xlfn.XLOOKUP(D42,'Activity Master Opex'!C:C,'Activity Master Opex'!B:B,0,0,1))</f>
        <v/>
      </c>
      <c r="D42" s="190"/>
      <c r="E42" s="189" t="str">
        <f>IF(D42="","",IFERROR(VLOOKUP(D42,'Activity Master Opex'!$C:$M,6,FALSE),0))</f>
        <v/>
      </c>
      <c r="F42" s="191" t="str">
        <f>IF($C42="","",VLOOKUP($C42,'Activity Master Opex'!$B:$I,3,0))</f>
        <v/>
      </c>
      <c r="G42" s="189" t="str">
        <f>IF($C42="","",VLOOKUP($F42,'Master Data'!$D$59:$E$147,2,FALSE))</f>
        <v/>
      </c>
      <c r="H42" s="191" t="str">
        <f>IF($C42="","",VLOOKUP($C42,'Activity Master Opex'!$B:$I,5,0))</f>
        <v/>
      </c>
      <c r="I42" s="188" t="str">
        <f>IFERROR(VLOOKUP(H42,'Activity Master Opex'!$F:$G,2,FALSE),"")</f>
        <v/>
      </c>
      <c r="J42" s="193">
        <v>0</v>
      </c>
      <c r="K42" s="193">
        <v>0</v>
      </c>
      <c r="L42" s="194"/>
      <c r="M42" s="194"/>
      <c r="N42" s="194"/>
      <c r="O42" s="194"/>
      <c r="P42" s="194"/>
      <c r="Q42" s="194"/>
      <c r="R42" s="194"/>
      <c r="S42" s="194"/>
      <c r="T42" s="194"/>
      <c r="U42" s="194"/>
      <c r="V42" s="194"/>
      <c r="W42" s="194"/>
      <c r="X42" s="195">
        <f t="shared" si="9"/>
        <v>0</v>
      </c>
      <c r="Y42" s="196"/>
      <c r="Z42" s="148"/>
      <c r="AA42" s="148"/>
      <c r="AB42" s="148"/>
      <c r="AC42" s="148"/>
      <c r="AD42" s="148"/>
      <c r="AE42" s="148"/>
      <c r="AF42" s="148"/>
      <c r="AG42" s="148"/>
      <c r="AH42" s="148"/>
      <c r="AI42" s="148"/>
      <c r="AJ42" s="148"/>
      <c r="AK42" s="148"/>
      <c r="AL42" s="197">
        <f t="shared" si="0"/>
        <v>0</v>
      </c>
      <c r="AM42" s="198"/>
      <c r="AN42" s="148"/>
      <c r="AO42" s="148"/>
      <c r="AP42" s="148"/>
      <c r="AQ42" s="148"/>
      <c r="AR42" s="148"/>
      <c r="AS42" s="148"/>
      <c r="AT42" s="148"/>
      <c r="AU42" s="148"/>
      <c r="AV42" s="148"/>
      <c r="AW42" s="148"/>
      <c r="AX42" s="148"/>
      <c r="AY42" s="148"/>
      <c r="AZ42" s="197">
        <f t="shared" si="1"/>
        <v>0</v>
      </c>
      <c r="BA42" s="199">
        <f t="shared" si="2"/>
        <v>0</v>
      </c>
      <c r="BB42" s="200"/>
      <c r="BC42" s="201">
        <f t="shared" si="3"/>
        <v>0</v>
      </c>
      <c r="BD42" s="202" t="str">
        <f>IF('Budget Opex Detail'!C42="","",IF(COUNTIFS('Activity Master Opex'!$B$4:$B$172,'Budget Opex Detail'!$C42)&gt;0,"","New Activity"))</f>
        <v/>
      </c>
      <c r="BE42" s="203"/>
      <c r="BF42" s="204"/>
      <c r="BG42" s="205"/>
      <c r="BH42" s="206"/>
      <c r="BI42" s="207"/>
      <c r="BJ42" s="207"/>
      <c r="BK42" s="208"/>
      <c r="BL42" s="153">
        <f t="shared" si="6"/>
        <v>0</v>
      </c>
      <c r="BM42" s="206"/>
      <c r="BN42" s="206"/>
      <c r="BO42" s="209">
        <f t="shared" si="4"/>
        <v>0</v>
      </c>
      <c r="BP42" s="210"/>
      <c r="BR42" s="212" t="str">
        <f>IF($H42="","",VLOOKUP($H42,'Master Data'!$B:$D,3,FALSE))</f>
        <v/>
      </c>
      <c r="BS42" s="212" t="str">
        <f t="shared" si="7"/>
        <v/>
      </c>
      <c r="BT42" s="212" t="str">
        <f>IF($H42="","",VLOOKUP(VALUE($H42),'Master Data'!B:I,8,FALSE))</f>
        <v/>
      </c>
    </row>
    <row r="43" spans="1:72" s="211" customFormat="1" x14ac:dyDescent="0.35">
      <c r="A43" s="188" t="str">
        <f>IF(D43="","",Cover!$D$8)</f>
        <v/>
      </c>
      <c r="B43" s="138" t="str">
        <f>IF(D43="","",IFERROR(VLOOKUP(G43,'Master Data'!$E$59:$J$144,6,FALSE),0))</f>
        <v/>
      </c>
      <c r="C43" s="353" t="str">
        <f>IF(D43="","",_xlfn.XLOOKUP(D43,'Activity Master Opex'!C:C,'Activity Master Opex'!B:B,0,0,1))</f>
        <v/>
      </c>
      <c r="D43" s="190"/>
      <c r="E43" s="189" t="str">
        <f>IF(D43="","",IFERROR(VLOOKUP(D43,'Activity Master Opex'!$C:$M,6,FALSE),0))</f>
        <v/>
      </c>
      <c r="F43" s="191" t="str">
        <f>IF($C43="","",VLOOKUP($C43,'Activity Master Opex'!$B:$I,3,0))</f>
        <v/>
      </c>
      <c r="G43" s="189" t="str">
        <f>IF($C43="","",VLOOKUP($F43,'Master Data'!$D$59:$E$147,2,FALSE))</f>
        <v/>
      </c>
      <c r="H43" s="191" t="str">
        <f>IF($C43="","",VLOOKUP($C43,'Activity Master Opex'!$B:$I,5,0))</f>
        <v/>
      </c>
      <c r="I43" s="188" t="str">
        <f>IFERROR(VLOOKUP(H43,'Activity Master Opex'!$F:$G,2,FALSE),"")</f>
        <v/>
      </c>
      <c r="J43" s="193">
        <v>0</v>
      </c>
      <c r="K43" s="193">
        <v>0</v>
      </c>
      <c r="L43" s="194"/>
      <c r="M43" s="194"/>
      <c r="N43" s="194"/>
      <c r="O43" s="194"/>
      <c r="P43" s="194"/>
      <c r="Q43" s="194"/>
      <c r="R43" s="194"/>
      <c r="S43" s="194"/>
      <c r="T43" s="194"/>
      <c r="U43" s="194"/>
      <c r="V43" s="194"/>
      <c r="W43" s="194"/>
      <c r="X43" s="195">
        <f t="shared" si="9"/>
        <v>0</v>
      </c>
      <c r="Y43" s="196"/>
      <c r="Z43" s="148"/>
      <c r="AA43" s="148"/>
      <c r="AB43" s="148"/>
      <c r="AC43" s="148"/>
      <c r="AD43" s="148"/>
      <c r="AE43" s="148"/>
      <c r="AF43" s="148"/>
      <c r="AG43" s="148"/>
      <c r="AH43" s="148"/>
      <c r="AI43" s="148"/>
      <c r="AJ43" s="148"/>
      <c r="AK43" s="148"/>
      <c r="AL43" s="197">
        <f t="shared" si="0"/>
        <v>0</v>
      </c>
      <c r="AM43" s="198"/>
      <c r="AN43" s="148"/>
      <c r="AO43" s="148"/>
      <c r="AP43" s="148"/>
      <c r="AQ43" s="148"/>
      <c r="AR43" s="148"/>
      <c r="AS43" s="148"/>
      <c r="AT43" s="148"/>
      <c r="AU43" s="148"/>
      <c r="AV43" s="148"/>
      <c r="AW43" s="148"/>
      <c r="AX43" s="148"/>
      <c r="AY43" s="148"/>
      <c r="AZ43" s="197">
        <f t="shared" si="1"/>
        <v>0</v>
      </c>
      <c r="BA43" s="199">
        <f t="shared" si="2"/>
        <v>0</v>
      </c>
      <c r="BB43" s="200"/>
      <c r="BC43" s="201">
        <f t="shared" si="3"/>
        <v>0</v>
      </c>
      <c r="BD43" s="202" t="str">
        <f>IF('Budget Opex Detail'!C43="","",IF(COUNTIFS('Activity Master Opex'!$B$4:$B$172,'Budget Opex Detail'!$C43)&gt;0,"","New Activity"))</f>
        <v/>
      </c>
      <c r="BE43" s="203"/>
      <c r="BF43" s="204"/>
      <c r="BG43" s="205"/>
      <c r="BH43" s="206"/>
      <c r="BI43" s="207"/>
      <c r="BJ43" s="207"/>
      <c r="BK43" s="208"/>
      <c r="BL43" s="153">
        <f t="shared" si="6"/>
        <v>0</v>
      </c>
      <c r="BM43" s="206"/>
      <c r="BN43" s="206"/>
      <c r="BO43" s="209">
        <f t="shared" si="4"/>
        <v>0</v>
      </c>
      <c r="BP43" s="210"/>
      <c r="BR43" s="212" t="str">
        <f>IF($H43="","",VLOOKUP($H43,'Master Data'!$B:$D,3,FALSE))</f>
        <v/>
      </c>
      <c r="BS43" s="212" t="str">
        <f t="shared" si="7"/>
        <v/>
      </c>
      <c r="BT43" s="212" t="str">
        <f>IF($H43="","",VLOOKUP(VALUE($H43),'Master Data'!B:I,8,FALSE))</f>
        <v/>
      </c>
    </row>
    <row r="44" spans="1:72" s="211" customFormat="1" x14ac:dyDescent="0.35">
      <c r="A44" s="188" t="str">
        <f>IF(D44="","",Cover!$D$8)</f>
        <v/>
      </c>
      <c r="B44" s="138" t="str">
        <f>IF(D44="","",IFERROR(VLOOKUP(G44,'Master Data'!$E$59:$J$144,6,FALSE),0))</f>
        <v/>
      </c>
      <c r="C44" s="353" t="str">
        <f>IF(D44="","",_xlfn.XLOOKUP(D44,'Activity Master Opex'!C:C,'Activity Master Opex'!B:B,0,0,1))</f>
        <v/>
      </c>
      <c r="D44" s="190"/>
      <c r="E44" s="189" t="str">
        <f>IF(D44="","",IFERROR(VLOOKUP(D44,'Activity Master Opex'!$C:$M,6,FALSE),0))</f>
        <v/>
      </c>
      <c r="F44" s="191" t="str">
        <f>IF($C44="","",VLOOKUP($C44,'Activity Master Opex'!$B:$I,3,0))</f>
        <v/>
      </c>
      <c r="G44" s="189" t="str">
        <f>IF($C44="","",VLOOKUP($F44,'Master Data'!$D$59:$E$147,2,FALSE))</f>
        <v/>
      </c>
      <c r="H44" s="191" t="str">
        <f>IF($C44="","",VLOOKUP($C44,'Activity Master Opex'!$B:$I,5,0))</f>
        <v/>
      </c>
      <c r="I44" s="188" t="str">
        <f>IFERROR(VLOOKUP(H44,'Activity Master Opex'!$F:$G,2,FALSE),"")</f>
        <v/>
      </c>
      <c r="J44" s="193">
        <v>0</v>
      </c>
      <c r="K44" s="193">
        <v>0</v>
      </c>
      <c r="L44" s="194"/>
      <c r="M44" s="194"/>
      <c r="N44" s="194"/>
      <c r="O44" s="194"/>
      <c r="P44" s="194"/>
      <c r="Q44" s="194"/>
      <c r="R44" s="194"/>
      <c r="S44" s="194"/>
      <c r="T44" s="194"/>
      <c r="U44" s="194"/>
      <c r="V44" s="194"/>
      <c r="W44" s="194"/>
      <c r="X44" s="195">
        <f t="shared" si="9"/>
        <v>0</v>
      </c>
      <c r="Y44" s="196"/>
      <c r="Z44" s="148"/>
      <c r="AA44" s="148"/>
      <c r="AB44" s="148"/>
      <c r="AC44" s="148"/>
      <c r="AD44" s="148"/>
      <c r="AE44" s="148"/>
      <c r="AF44" s="148"/>
      <c r="AG44" s="148"/>
      <c r="AH44" s="148"/>
      <c r="AI44" s="148"/>
      <c r="AJ44" s="148"/>
      <c r="AK44" s="148"/>
      <c r="AL44" s="197">
        <f t="shared" si="0"/>
        <v>0</v>
      </c>
      <c r="AM44" s="198"/>
      <c r="AN44" s="148"/>
      <c r="AO44" s="148"/>
      <c r="AP44" s="148"/>
      <c r="AQ44" s="148"/>
      <c r="AR44" s="148"/>
      <c r="AS44" s="148"/>
      <c r="AT44" s="148"/>
      <c r="AU44" s="148"/>
      <c r="AV44" s="148"/>
      <c r="AW44" s="148"/>
      <c r="AX44" s="148"/>
      <c r="AY44" s="148"/>
      <c r="AZ44" s="197">
        <f t="shared" si="1"/>
        <v>0</v>
      </c>
      <c r="BA44" s="199">
        <f t="shared" si="2"/>
        <v>0</v>
      </c>
      <c r="BB44" s="200"/>
      <c r="BC44" s="201">
        <f t="shared" si="3"/>
        <v>0</v>
      </c>
      <c r="BD44" s="202" t="str">
        <f>IF('Budget Opex Detail'!C44="","",IF(COUNTIFS('Activity Master Opex'!$B$4:$B$172,'Budget Opex Detail'!$C44)&gt;0,"","New Activity"))</f>
        <v/>
      </c>
      <c r="BE44" s="203"/>
      <c r="BF44" s="204"/>
      <c r="BG44" s="205"/>
      <c r="BH44" s="206"/>
      <c r="BI44" s="207"/>
      <c r="BJ44" s="207"/>
      <c r="BK44" s="208"/>
      <c r="BL44" s="153">
        <f t="shared" si="6"/>
        <v>0</v>
      </c>
      <c r="BM44" s="206"/>
      <c r="BN44" s="206"/>
      <c r="BO44" s="209">
        <f t="shared" si="4"/>
        <v>0</v>
      </c>
      <c r="BP44" s="210"/>
      <c r="BR44" s="212" t="str">
        <f>IF($H44="","",VLOOKUP($H44,'Master Data'!$B:$D,3,FALSE))</f>
        <v/>
      </c>
      <c r="BS44" s="212" t="str">
        <f t="shared" si="7"/>
        <v/>
      </c>
      <c r="BT44" s="212" t="str">
        <f>IF($H44="","",VLOOKUP(VALUE($H44),'Master Data'!B:I,8,FALSE))</f>
        <v/>
      </c>
    </row>
    <row r="45" spans="1:72" s="211" customFormat="1" x14ac:dyDescent="0.35">
      <c r="A45" s="188" t="str">
        <f>IF(D45="","",Cover!$D$8)</f>
        <v/>
      </c>
      <c r="B45" s="138" t="str">
        <f>IF(D45="","",IFERROR(VLOOKUP(G45,'Master Data'!$E$59:$J$144,6,FALSE),0))</f>
        <v/>
      </c>
      <c r="C45" s="353" t="str">
        <f>IF(D45="","",_xlfn.XLOOKUP(D45,'Activity Master Opex'!C:C,'Activity Master Opex'!B:B,0,0,1))</f>
        <v/>
      </c>
      <c r="D45" s="190"/>
      <c r="E45" s="189" t="str">
        <f>IF(D45="","",IFERROR(VLOOKUP(D45,'Activity Master Opex'!$C:$M,6,FALSE),0))</f>
        <v/>
      </c>
      <c r="F45" s="191" t="str">
        <f>IF($C45="","",VLOOKUP($C45,'Activity Master Opex'!$B:$I,3,0))</f>
        <v/>
      </c>
      <c r="G45" s="189" t="str">
        <f>IF($C45="","",VLOOKUP($F45,'Master Data'!$D$59:$E$147,2,FALSE))</f>
        <v/>
      </c>
      <c r="H45" s="191" t="str">
        <f>IF($C45="","",VLOOKUP($C45,'Activity Master Opex'!$B:$I,5,0))</f>
        <v/>
      </c>
      <c r="I45" s="188" t="str">
        <f>IFERROR(VLOOKUP(H45,'Activity Master Opex'!$F:$G,2,FALSE),"")</f>
        <v/>
      </c>
      <c r="J45" s="193">
        <v>0</v>
      </c>
      <c r="K45" s="193">
        <v>0</v>
      </c>
      <c r="L45" s="194"/>
      <c r="M45" s="194"/>
      <c r="N45" s="194"/>
      <c r="O45" s="194"/>
      <c r="P45" s="194"/>
      <c r="Q45" s="194"/>
      <c r="R45" s="194"/>
      <c r="S45" s="194"/>
      <c r="T45" s="194"/>
      <c r="U45" s="194"/>
      <c r="V45" s="194"/>
      <c r="W45" s="194"/>
      <c r="X45" s="195">
        <f t="shared" si="9"/>
        <v>0</v>
      </c>
      <c r="Y45" s="196"/>
      <c r="Z45" s="148"/>
      <c r="AA45" s="148"/>
      <c r="AB45" s="148"/>
      <c r="AC45" s="148"/>
      <c r="AD45" s="148"/>
      <c r="AE45" s="148"/>
      <c r="AF45" s="148"/>
      <c r="AG45" s="148"/>
      <c r="AH45" s="148"/>
      <c r="AI45" s="148"/>
      <c r="AJ45" s="148"/>
      <c r="AK45" s="148"/>
      <c r="AL45" s="197">
        <f t="shared" si="0"/>
        <v>0</v>
      </c>
      <c r="AM45" s="198"/>
      <c r="AN45" s="148"/>
      <c r="AO45" s="148"/>
      <c r="AP45" s="148"/>
      <c r="AQ45" s="148"/>
      <c r="AR45" s="148"/>
      <c r="AS45" s="148"/>
      <c r="AT45" s="148"/>
      <c r="AU45" s="148"/>
      <c r="AV45" s="148"/>
      <c r="AW45" s="148"/>
      <c r="AX45" s="148"/>
      <c r="AY45" s="148"/>
      <c r="AZ45" s="197">
        <f t="shared" si="1"/>
        <v>0</v>
      </c>
      <c r="BA45" s="199">
        <f t="shared" si="2"/>
        <v>0</v>
      </c>
      <c r="BB45" s="200"/>
      <c r="BC45" s="201">
        <f t="shared" si="3"/>
        <v>0</v>
      </c>
      <c r="BD45" s="202" t="str">
        <f>IF('Budget Opex Detail'!C45="","",IF(COUNTIFS('Activity Master Opex'!$B$4:$B$172,'Budget Opex Detail'!$C45)&gt;0,"","New Activity"))</f>
        <v/>
      </c>
      <c r="BE45" s="203"/>
      <c r="BF45" s="204"/>
      <c r="BG45" s="205"/>
      <c r="BH45" s="206"/>
      <c r="BI45" s="207"/>
      <c r="BJ45" s="207"/>
      <c r="BK45" s="208"/>
      <c r="BL45" s="153">
        <f t="shared" si="6"/>
        <v>0</v>
      </c>
      <c r="BM45" s="206"/>
      <c r="BN45" s="206"/>
      <c r="BO45" s="209">
        <f t="shared" si="4"/>
        <v>0</v>
      </c>
      <c r="BP45" s="210"/>
      <c r="BR45" s="212" t="str">
        <f>IF($H45="","",VLOOKUP($H45,'Master Data'!$B:$D,3,FALSE))</f>
        <v/>
      </c>
      <c r="BS45" s="212" t="str">
        <f t="shared" si="7"/>
        <v/>
      </c>
      <c r="BT45" s="212" t="str">
        <f>IF($H45="","",VLOOKUP(VALUE($H45),'Master Data'!B:I,8,FALSE))</f>
        <v/>
      </c>
    </row>
    <row r="46" spans="1:72" s="211" customFormat="1" x14ac:dyDescent="0.35">
      <c r="A46" s="188" t="str">
        <f>IF(D46="","",Cover!$D$8)</f>
        <v/>
      </c>
      <c r="B46" s="138" t="str">
        <f>IF(D46="","",IFERROR(VLOOKUP(G46,'Master Data'!$E$59:$J$144,6,FALSE),0))</f>
        <v/>
      </c>
      <c r="C46" s="353" t="str">
        <f>IF(D46="","",_xlfn.XLOOKUP(D46,'Activity Master Opex'!C:C,'Activity Master Opex'!B:B,0,0,1))</f>
        <v/>
      </c>
      <c r="D46" s="190"/>
      <c r="E46" s="189" t="str">
        <f>IF(D46="","",IFERROR(VLOOKUP(D46,'Activity Master Opex'!$C:$M,6,FALSE),0))</f>
        <v/>
      </c>
      <c r="F46" s="191" t="str">
        <f>IF($C46="","",VLOOKUP($C46,'Activity Master Opex'!$B:$I,3,0))</f>
        <v/>
      </c>
      <c r="G46" s="189" t="str">
        <f>IF($C46="","",VLOOKUP($F46,'Master Data'!$D$59:$E$147,2,FALSE))</f>
        <v/>
      </c>
      <c r="H46" s="191" t="str">
        <f>IF($C46="","",VLOOKUP($C46,'Activity Master Opex'!$B:$I,5,0))</f>
        <v/>
      </c>
      <c r="I46" s="188" t="str">
        <f>IFERROR(VLOOKUP(H46,'Activity Master Opex'!$F:$G,2,FALSE),"")</f>
        <v/>
      </c>
      <c r="J46" s="193">
        <v>0</v>
      </c>
      <c r="K46" s="193">
        <v>0</v>
      </c>
      <c r="L46" s="194"/>
      <c r="M46" s="194"/>
      <c r="N46" s="194"/>
      <c r="O46" s="194"/>
      <c r="P46" s="194"/>
      <c r="Q46" s="194"/>
      <c r="R46" s="194"/>
      <c r="S46" s="194"/>
      <c r="T46" s="194"/>
      <c r="U46" s="194"/>
      <c r="V46" s="194"/>
      <c r="W46" s="194"/>
      <c r="X46" s="195">
        <f t="shared" si="9"/>
        <v>0</v>
      </c>
      <c r="Y46" s="196"/>
      <c r="Z46" s="148"/>
      <c r="AA46" s="148"/>
      <c r="AB46" s="148"/>
      <c r="AC46" s="148"/>
      <c r="AD46" s="148"/>
      <c r="AE46" s="148"/>
      <c r="AF46" s="148"/>
      <c r="AG46" s="148"/>
      <c r="AH46" s="148"/>
      <c r="AI46" s="148"/>
      <c r="AJ46" s="148"/>
      <c r="AK46" s="148"/>
      <c r="AL46" s="197">
        <f t="shared" si="0"/>
        <v>0</v>
      </c>
      <c r="AM46" s="198"/>
      <c r="AN46" s="148"/>
      <c r="AO46" s="148"/>
      <c r="AP46" s="148"/>
      <c r="AQ46" s="148"/>
      <c r="AR46" s="148"/>
      <c r="AS46" s="148"/>
      <c r="AT46" s="148"/>
      <c r="AU46" s="148"/>
      <c r="AV46" s="148"/>
      <c r="AW46" s="148"/>
      <c r="AX46" s="148"/>
      <c r="AY46" s="148"/>
      <c r="AZ46" s="197">
        <f t="shared" si="1"/>
        <v>0</v>
      </c>
      <c r="BA46" s="199">
        <f t="shared" si="2"/>
        <v>0</v>
      </c>
      <c r="BB46" s="200"/>
      <c r="BC46" s="201">
        <f t="shared" si="3"/>
        <v>0</v>
      </c>
      <c r="BD46" s="202" t="str">
        <f>IF('Budget Opex Detail'!C46="","",IF(COUNTIFS('Activity Master Opex'!$B$4:$B$172,'Budget Opex Detail'!$C46)&gt;0,"","New Activity"))</f>
        <v/>
      </c>
      <c r="BE46" s="203"/>
      <c r="BF46" s="204"/>
      <c r="BG46" s="205"/>
      <c r="BH46" s="206"/>
      <c r="BI46" s="207"/>
      <c r="BJ46" s="207"/>
      <c r="BK46" s="208"/>
      <c r="BL46" s="153">
        <f t="shared" si="6"/>
        <v>0</v>
      </c>
      <c r="BM46" s="206"/>
      <c r="BN46" s="206"/>
      <c r="BO46" s="209">
        <f t="shared" si="4"/>
        <v>0</v>
      </c>
      <c r="BP46" s="210"/>
      <c r="BR46" s="212" t="str">
        <f>IF($H46="","",VLOOKUP($H46,'Master Data'!$B:$D,3,FALSE))</f>
        <v/>
      </c>
      <c r="BS46" s="212" t="str">
        <f t="shared" si="7"/>
        <v/>
      </c>
      <c r="BT46" s="212" t="str">
        <f>IF($H46="","",VLOOKUP(VALUE($H46),'Master Data'!B:I,8,FALSE))</f>
        <v/>
      </c>
    </row>
    <row r="47" spans="1:72" s="211" customFormat="1" x14ac:dyDescent="0.35">
      <c r="A47" s="188" t="str">
        <f>IF(D47="","",Cover!$D$8)</f>
        <v/>
      </c>
      <c r="B47" s="138" t="str">
        <f>IF(D47="","",IFERROR(VLOOKUP(G47,'Master Data'!$E$59:$J$144,6,FALSE),0))</f>
        <v/>
      </c>
      <c r="C47" s="353" t="str">
        <f>IF(D47="","",_xlfn.XLOOKUP(D47,'Activity Master Opex'!C:C,'Activity Master Opex'!B:B,0,0,1))</f>
        <v/>
      </c>
      <c r="D47" s="190"/>
      <c r="E47" s="189" t="str">
        <f>IF(D47="","",IFERROR(VLOOKUP(D47,'Activity Master Opex'!$C:$M,6,FALSE),0))</f>
        <v/>
      </c>
      <c r="F47" s="191" t="str">
        <f>IF($C47="","",VLOOKUP($C47,'Activity Master Opex'!$B:$I,3,0))</f>
        <v/>
      </c>
      <c r="G47" s="189" t="str">
        <f>IF($C47="","",VLOOKUP($F47,'Master Data'!$D$59:$E$147,2,FALSE))</f>
        <v/>
      </c>
      <c r="H47" s="191" t="str">
        <f>IF($C47="","",VLOOKUP($C47,'Activity Master Opex'!$B:$I,5,0))</f>
        <v/>
      </c>
      <c r="I47" s="188" t="str">
        <f>IFERROR(VLOOKUP(H47,'Activity Master Opex'!$F:$G,2,FALSE),"")</f>
        <v/>
      </c>
      <c r="J47" s="193">
        <v>0</v>
      </c>
      <c r="K47" s="193">
        <v>0</v>
      </c>
      <c r="L47" s="194"/>
      <c r="M47" s="194"/>
      <c r="N47" s="194"/>
      <c r="O47" s="194"/>
      <c r="P47" s="194"/>
      <c r="Q47" s="194"/>
      <c r="R47" s="194"/>
      <c r="S47" s="194"/>
      <c r="T47" s="194"/>
      <c r="U47" s="194"/>
      <c r="V47" s="194"/>
      <c r="W47" s="194"/>
      <c r="X47" s="195">
        <f t="shared" si="9"/>
        <v>0</v>
      </c>
      <c r="Y47" s="196"/>
      <c r="Z47" s="148"/>
      <c r="AA47" s="148"/>
      <c r="AB47" s="148"/>
      <c r="AC47" s="148"/>
      <c r="AD47" s="148"/>
      <c r="AE47" s="148"/>
      <c r="AF47" s="148"/>
      <c r="AG47" s="148"/>
      <c r="AH47" s="148"/>
      <c r="AI47" s="148"/>
      <c r="AJ47" s="148"/>
      <c r="AK47" s="148"/>
      <c r="AL47" s="197">
        <f t="shared" si="0"/>
        <v>0</v>
      </c>
      <c r="AM47" s="198"/>
      <c r="AN47" s="148"/>
      <c r="AO47" s="148"/>
      <c r="AP47" s="148"/>
      <c r="AQ47" s="148"/>
      <c r="AR47" s="148"/>
      <c r="AS47" s="148"/>
      <c r="AT47" s="148"/>
      <c r="AU47" s="148"/>
      <c r="AV47" s="148"/>
      <c r="AW47" s="148"/>
      <c r="AX47" s="148"/>
      <c r="AY47" s="148"/>
      <c r="AZ47" s="197">
        <f t="shared" si="1"/>
        <v>0</v>
      </c>
      <c r="BA47" s="199">
        <f t="shared" si="2"/>
        <v>0</v>
      </c>
      <c r="BB47" s="200"/>
      <c r="BC47" s="201">
        <f t="shared" si="3"/>
        <v>0</v>
      </c>
      <c r="BD47" s="202" t="str">
        <f>IF('Budget Opex Detail'!C47="","",IF(COUNTIFS('Activity Master Opex'!$B$4:$B$172,'Budget Opex Detail'!$C47)&gt;0,"","New Activity"))</f>
        <v/>
      </c>
      <c r="BE47" s="203"/>
      <c r="BF47" s="204"/>
      <c r="BG47" s="205"/>
      <c r="BH47" s="206"/>
      <c r="BI47" s="207"/>
      <c r="BJ47" s="207"/>
      <c r="BK47" s="208"/>
      <c r="BL47" s="153">
        <f t="shared" si="6"/>
        <v>0</v>
      </c>
      <c r="BM47" s="206"/>
      <c r="BN47" s="206"/>
      <c r="BO47" s="209">
        <f t="shared" si="4"/>
        <v>0</v>
      </c>
      <c r="BP47" s="210"/>
      <c r="BR47" s="212" t="str">
        <f>IF($H47="","",VLOOKUP($H47,'Master Data'!$B:$D,3,FALSE))</f>
        <v/>
      </c>
      <c r="BS47" s="212" t="str">
        <f t="shared" si="7"/>
        <v/>
      </c>
      <c r="BT47" s="212" t="str">
        <f>IF($H47="","",VLOOKUP(VALUE($H47),'Master Data'!B:I,8,FALSE))</f>
        <v/>
      </c>
    </row>
    <row r="48" spans="1:72" s="211" customFormat="1" x14ac:dyDescent="0.35">
      <c r="A48" s="188" t="str">
        <f>IF(D48="","",Cover!$D$8)</f>
        <v/>
      </c>
      <c r="B48" s="138" t="str">
        <f>IF(D48="","",IFERROR(VLOOKUP(G48,'Master Data'!$E$59:$J$144,6,FALSE),0))</f>
        <v/>
      </c>
      <c r="C48" s="353" t="str">
        <f>IF(D48="","",_xlfn.XLOOKUP(D48,'Activity Master Opex'!C:C,'Activity Master Opex'!B:B,0,0,1))</f>
        <v/>
      </c>
      <c r="D48" s="190"/>
      <c r="E48" s="189" t="str">
        <f>IF(D48="","",IFERROR(VLOOKUP(D48,'Activity Master Opex'!$C:$M,6,FALSE),0))</f>
        <v/>
      </c>
      <c r="F48" s="191" t="str">
        <f>IF($C48="","",VLOOKUP($C48,'Activity Master Opex'!$B:$I,3,0))</f>
        <v/>
      </c>
      <c r="G48" s="189" t="str">
        <f>IF($C48="","",VLOOKUP($F48,'Master Data'!$D$59:$E$147,2,FALSE))</f>
        <v/>
      </c>
      <c r="H48" s="191" t="str">
        <f>IF($C48="","",VLOOKUP($C48,'Activity Master Opex'!$B:$I,5,0))</f>
        <v/>
      </c>
      <c r="I48" s="188" t="str">
        <f>IFERROR(VLOOKUP(H48,'Activity Master Opex'!$F:$G,2,FALSE),"")</f>
        <v/>
      </c>
      <c r="J48" s="193">
        <v>0</v>
      </c>
      <c r="K48" s="193">
        <v>0</v>
      </c>
      <c r="L48" s="194"/>
      <c r="M48" s="194"/>
      <c r="N48" s="194"/>
      <c r="O48" s="194"/>
      <c r="P48" s="194"/>
      <c r="Q48" s="194"/>
      <c r="R48" s="194"/>
      <c r="S48" s="194"/>
      <c r="T48" s="194"/>
      <c r="U48" s="194"/>
      <c r="V48" s="194"/>
      <c r="W48" s="194"/>
      <c r="X48" s="195">
        <f t="shared" si="9"/>
        <v>0</v>
      </c>
      <c r="Y48" s="196"/>
      <c r="Z48" s="148"/>
      <c r="AA48" s="148"/>
      <c r="AB48" s="148"/>
      <c r="AC48" s="148"/>
      <c r="AD48" s="148"/>
      <c r="AE48" s="148"/>
      <c r="AF48" s="148"/>
      <c r="AG48" s="148"/>
      <c r="AH48" s="148"/>
      <c r="AI48" s="148"/>
      <c r="AJ48" s="148"/>
      <c r="AK48" s="148"/>
      <c r="AL48" s="197">
        <f t="shared" si="0"/>
        <v>0</v>
      </c>
      <c r="AM48" s="198"/>
      <c r="AN48" s="148"/>
      <c r="AO48" s="148"/>
      <c r="AP48" s="148"/>
      <c r="AQ48" s="148"/>
      <c r="AR48" s="148"/>
      <c r="AS48" s="148"/>
      <c r="AT48" s="148"/>
      <c r="AU48" s="148"/>
      <c r="AV48" s="148"/>
      <c r="AW48" s="148"/>
      <c r="AX48" s="148"/>
      <c r="AY48" s="148"/>
      <c r="AZ48" s="197">
        <f t="shared" si="1"/>
        <v>0</v>
      </c>
      <c r="BA48" s="199">
        <f t="shared" si="2"/>
        <v>0</v>
      </c>
      <c r="BB48" s="200"/>
      <c r="BC48" s="201">
        <f t="shared" si="3"/>
        <v>0</v>
      </c>
      <c r="BD48" s="202" t="str">
        <f>IF('Budget Opex Detail'!C48="","",IF(COUNTIFS('Activity Master Opex'!$B$4:$B$172,'Budget Opex Detail'!$C48)&gt;0,"","New Activity"))</f>
        <v/>
      </c>
      <c r="BE48" s="203"/>
      <c r="BF48" s="204"/>
      <c r="BG48" s="205"/>
      <c r="BH48" s="206"/>
      <c r="BI48" s="207"/>
      <c r="BJ48" s="207"/>
      <c r="BK48" s="208"/>
      <c r="BL48" s="153">
        <f t="shared" si="6"/>
        <v>0</v>
      </c>
      <c r="BM48" s="206"/>
      <c r="BN48" s="206"/>
      <c r="BO48" s="209">
        <f t="shared" si="4"/>
        <v>0</v>
      </c>
      <c r="BP48" s="210"/>
      <c r="BR48" s="212" t="str">
        <f>IF($H48="","",VLOOKUP($H48,'Master Data'!$B:$D,3,FALSE))</f>
        <v/>
      </c>
      <c r="BS48" s="212" t="str">
        <f t="shared" si="7"/>
        <v/>
      </c>
      <c r="BT48" s="212" t="str">
        <f>IF($H48="","",VLOOKUP(VALUE($H48),'Master Data'!B:I,8,FALSE))</f>
        <v/>
      </c>
    </row>
    <row r="49" spans="1:72" s="211" customFormat="1" x14ac:dyDescent="0.35">
      <c r="A49" s="188" t="str">
        <f>IF(D49="","",Cover!$D$8)</f>
        <v/>
      </c>
      <c r="B49" s="138" t="str">
        <f>IF(D49="","",IFERROR(VLOOKUP(G49,'Master Data'!$E$59:$J$144,6,FALSE),0))</f>
        <v/>
      </c>
      <c r="C49" s="353" t="str">
        <f>IF(D49="","",_xlfn.XLOOKUP(D49,'Activity Master Opex'!C:C,'Activity Master Opex'!B:B,0,0,1))</f>
        <v/>
      </c>
      <c r="D49" s="190"/>
      <c r="E49" s="189" t="str">
        <f>IF(D49="","",IFERROR(VLOOKUP(D49,'Activity Master Opex'!$C:$M,6,FALSE),0))</f>
        <v/>
      </c>
      <c r="F49" s="191" t="str">
        <f>IF($C49="","",VLOOKUP($C49,'Activity Master Opex'!$B:$I,3,0))</f>
        <v/>
      </c>
      <c r="G49" s="189" t="str">
        <f>IF($C49="","",VLOOKUP($F49,'Master Data'!$D$59:$E$147,2,FALSE))</f>
        <v/>
      </c>
      <c r="H49" s="191" t="str">
        <f>IF($C49="","",VLOOKUP($C49,'Activity Master Opex'!$B:$I,5,0))</f>
        <v/>
      </c>
      <c r="I49" s="188" t="str">
        <f>IFERROR(VLOOKUP(H49,'Activity Master Opex'!$F:$G,2,FALSE),"")</f>
        <v/>
      </c>
      <c r="J49" s="193">
        <v>0</v>
      </c>
      <c r="K49" s="193">
        <v>0</v>
      </c>
      <c r="L49" s="194"/>
      <c r="M49" s="194"/>
      <c r="N49" s="194"/>
      <c r="O49" s="194"/>
      <c r="P49" s="194"/>
      <c r="Q49" s="194"/>
      <c r="R49" s="194"/>
      <c r="S49" s="194"/>
      <c r="T49" s="194"/>
      <c r="U49" s="194"/>
      <c r="V49" s="194"/>
      <c r="W49" s="194"/>
      <c r="X49" s="195">
        <f t="shared" si="9"/>
        <v>0</v>
      </c>
      <c r="Y49" s="196"/>
      <c r="Z49" s="148"/>
      <c r="AA49" s="148"/>
      <c r="AB49" s="148"/>
      <c r="AC49" s="148"/>
      <c r="AD49" s="148"/>
      <c r="AE49" s="148"/>
      <c r="AF49" s="148"/>
      <c r="AG49" s="148"/>
      <c r="AH49" s="148"/>
      <c r="AI49" s="148"/>
      <c r="AJ49" s="148"/>
      <c r="AK49" s="148"/>
      <c r="AL49" s="197">
        <f t="shared" si="0"/>
        <v>0</v>
      </c>
      <c r="AM49" s="198"/>
      <c r="AN49" s="148"/>
      <c r="AO49" s="148"/>
      <c r="AP49" s="148"/>
      <c r="AQ49" s="148"/>
      <c r="AR49" s="148"/>
      <c r="AS49" s="148"/>
      <c r="AT49" s="148"/>
      <c r="AU49" s="148"/>
      <c r="AV49" s="148"/>
      <c r="AW49" s="148"/>
      <c r="AX49" s="148"/>
      <c r="AY49" s="148"/>
      <c r="AZ49" s="197">
        <f t="shared" si="1"/>
        <v>0</v>
      </c>
      <c r="BA49" s="199">
        <f t="shared" si="2"/>
        <v>0</v>
      </c>
      <c r="BB49" s="200"/>
      <c r="BC49" s="201">
        <f t="shared" si="3"/>
        <v>0</v>
      </c>
      <c r="BD49" s="202" t="str">
        <f>IF('Budget Opex Detail'!C49="","",IF(COUNTIFS('Activity Master Opex'!$B$4:$B$172,'Budget Opex Detail'!$C49)&gt;0,"","New Activity"))</f>
        <v/>
      </c>
      <c r="BE49" s="203"/>
      <c r="BF49" s="204"/>
      <c r="BG49" s="205"/>
      <c r="BH49" s="206"/>
      <c r="BI49" s="207"/>
      <c r="BJ49" s="207"/>
      <c r="BK49" s="208"/>
      <c r="BL49" s="153">
        <f t="shared" si="6"/>
        <v>0</v>
      </c>
      <c r="BM49" s="206"/>
      <c r="BN49" s="206"/>
      <c r="BO49" s="209">
        <f t="shared" si="4"/>
        <v>0</v>
      </c>
      <c r="BP49" s="210"/>
      <c r="BR49" s="212" t="str">
        <f>IF($H49="","",VLOOKUP($H49,'Master Data'!$B:$D,3,FALSE))</f>
        <v/>
      </c>
      <c r="BS49" s="212" t="str">
        <f t="shared" si="7"/>
        <v/>
      </c>
      <c r="BT49" s="212" t="str">
        <f>IF($H49="","",VLOOKUP(VALUE($H49),'Master Data'!B:I,8,FALSE))</f>
        <v/>
      </c>
    </row>
    <row r="50" spans="1:72" s="211" customFormat="1" x14ac:dyDescent="0.35">
      <c r="A50" s="188" t="str">
        <f>IF(D50="","",Cover!$D$8)</f>
        <v/>
      </c>
      <c r="B50" s="138" t="str">
        <f>IF(D50="","",IFERROR(VLOOKUP(G50,'Master Data'!$E$59:$J$144,6,FALSE),0))</f>
        <v/>
      </c>
      <c r="C50" s="353" t="str">
        <f>IF(D50="","",_xlfn.XLOOKUP(D50,'Activity Master Opex'!C:C,'Activity Master Opex'!B:B,0,0,1))</f>
        <v/>
      </c>
      <c r="D50" s="190"/>
      <c r="E50" s="189" t="str">
        <f>IF(D50="","",IFERROR(VLOOKUP(D50,'Activity Master Opex'!$C:$M,6,FALSE),0))</f>
        <v/>
      </c>
      <c r="F50" s="191" t="str">
        <f>IF($C50="","",VLOOKUP($C50,'Activity Master Opex'!$B:$I,3,0))</f>
        <v/>
      </c>
      <c r="G50" s="189" t="str">
        <f>IF($C50="","",VLOOKUP($F50,'Master Data'!$D$59:$E$147,2,FALSE))</f>
        <v/>
      </c>
      <c r="H50" s="191" t="str">
        <f>IF($C50="","",VLOOKUP($C50,'Activity Master Opex'!$B:$I,5,0))</f>
        <v/>
      </c>
      <c r="I50" s="188" t="str">
        <f>IFERROR(VLOOKUP(H50,'Activity Master Opex'!$F:$G,2,FALSE),"")</f>
        <v/>
      </c>
      <c r="J50" s="193">
        <v>0</v>
      </c>
      <c r="K50" s="193">
        <v>0</v>
      </c>
      <c r="L50" s="194"/>
      <c r="M50" s="194"/>
      <c r="N50" s="194"/>
      <c r="O50" s="194"/>
      <c r="P50" s="194"/>
      <c r="Q50" s="194"/>
      <c r="R50" s="194"/>
      <c r="S50" s="194"/>
      <c r="T50" s="194"/>
      <c r="U50" s="194"/>
      <c r="V50" s="194"/>
      <c r="W50" s="194"/>
      <c r="X50" s="195">
        <f t="shared" si="9"/>
        <v>0</v>
      </c>
      <c r="Y50" s="196"/>
      <c r="Z50" s="148"/>
      <c r="AA50" s="148"/>
      <c r="AB50" s="148"/>
      <c r="AC50" s="148"/>
      <c r="AD50" s="148"/>
      <c r="AE50" s="148"/>
      <c r="AF50" s="148"/>
      <c r="AG50" s="148"/>
      <c r="AH50" s="148"/>
      <c r="AI50" s="148"/>
      <c r="AJ50" s="148"/>
      <c r="AK50" s="148"/>
      <c r="AL50" s="197">
        <f t="shared" si="0"/>
        <v>0</v>
      </c>
      <c r="AM50" s="198"/>
      <c r="AN50" s="148"/>
      <c r="AO50" s="148"/>
      <c r="AP50" s="148"/>
      <c r="AQ50" s="148"/>
      <c r="AR50" s="148"/>
      <c r="AS50" s="148"/>
      <c r="AT50" s="148"/>
      <c r="AU50" s="148"/>
      <c r="AV50" s="148"/>
      <c r="AW50" s="148"/>
      <c r="AX50" s="148"/>
      <c r="AY50" s="148"/>
      <c r="AZ50" s="197">
        <f t="shared" si="1"/>
        <v>0</v>
      </c>
      <c r="BA50" s="199">
        <f t="shared" si="2"/>
        <v>0</v>
      </c>
      <c r="BB50" s="200"/>
      <c r="BC50" s="201">
        <f t="shared" si="3"/>
        <v>0</v>
      </c>
      <c r="BD50" s="202" t="str">
        <f>IF('Budget Opex Detail'!C50="","",IF(COUNTIFS('Activity Master Opex'!$B$4:$B$172,'Budget Opex Detail'!$C50)&gt;0,"","New Activity"))</f>
        <v/>
      </c>
      <c r="BE50" s="203"/>
      <c r="BF50" s="204"/>
      <c r="BG50" s="205"/>
      <c r="BH50" s="206"/>
      <c r="BI50" s="207"/>
      <c r="BJ50" s="207"/>
      <c r="BK50" s="208"/>
      <c r="BL50" s="153">
        <f t="shared" si="6"/>
        <v>0</v>
      </c>
      <c r="BM50" s="206"/>
      <c r="BN50" s="206"/>
      <c r="BO50" s="209">
        <f t="shared" si="4"/>
        <v>0</v>
      </c>
      <c r="BP50" s="210"/>
      <c r="BR50" s="212" t="str">
        <f>IF($H50="","",VLOOKUP($H50,'Master Data'!$B:$D,3,FALSE))</f>
        <v/>
      </c>
      <c r="BS50" s="212" t="str">
        <f t="shared" si="7"/>
        <v/>
      </c>
      <c r="BT50" s="212" t="str">
        <f>IF($H50="","",VLOOKUP(VALUE($H50),'Master Data'!B:I,8,FALSE))</f>
        <v/>
      </c>
    </row>
    <row r="51" spans="1:72" s="211" customFormat="1" x14ac:dyDescent="0.35">
      <c r="A51" s="188" t="str">
        <f>IF(D51="","",Cover!$D$8)</f>
        <v/>
      </c>
      <c r="B51" s="138" t="str">
        <f>IF(D51="","",IFERROR(VLOOKUP(G51,'Master Data'!$E$59:$J$144,6,FALSE),0))</f>
        <v/>
      </c>
      <c r="C51" s="353" t="str">
        <f>IF(D51="","",_xlfn.XLOOKUP(D51,'Activity Master Opex'!C:C,'Activity Master Opex'!B:B,0,0,1))</f>
        <v/>
      </c>
      <c r="D51" s="190"/>
      <c r="E51" s="189" t="str">
        <f>IF(D51="","",IFERROR(VLOOKUP(D51,'Activity Master Opex'!$C:$M,6,FALSE),0))</f>
        <v/>
      </c>
      <c r="F51" s="191" t="str">
        <f>IF($C51="","",VLOOKUP($C51,'Activity Master Opex'!$B:$I,3,0))</f>
        <v/>
      </c>
      <c r="G51" s="189" t="str">
        <f>IF($C51="","",VLOOKUP($F51,'Master Data'!$D$59:$E$147,2,FALSE))</f>
        <v/>
      </c>
      <c r="H51" s="191" t="str">
        <f>IF($C51="","",VLOOKUP($C51,'Activity Master Opex'!$B:$I,5,0))</f>
        <v/>
      </c>
      <c r="I51" s="188" t="str">
        <f>IFERROR(VLOOKUP(H51,'Activity Master Opex'!$F:$G,2,FALSE),"")</f>
        <v/>
      </c>
      <c r="J51" s="193">
        <v>0</v>
      </c>
      <c r="K51" s="193">
        <v>0</v>
      </c>
      <c r="L51" s="194"/>
      <c r="M51" s="194"/>
      <c r="N51" s="194"/>
      <c r="O51" s="194"/>
      <c r="P51" s="194"/>
      <c r="Q51" s="194"/>
      <c r="R51" s="194"/>
      <c r="S51" s="194"/>
      <c r="T51" s="194"/>
      <c r="U51" s="194"/>
      <c r="V51" s="194"/>
      <c r="W51" s="194"/>
      <c r="X51" s="195">
        <f t="shared" si="9"/>
        <v>0</v>
      </c>
      <c r="Y51" s="196"/>
      <c r="Z51" s="148"/>
      <c r="AA51" s="148"/>
      <c r="AB51" s="148"/>
      <c r="AC51" s="148"/>
      <c r="AD51" s="148"/>
      <c r="AE51" s="148"/>
      <c r="AF51" s="148"/>
      <c r="AG51" s="148"/>
      <c r="AH51" s="148"/>
      <c r="AI51" s="148"/>
      <c r="AJ51" s="148"/>
      <c r="AK51" s="148"/>
      <c r="AL51" s="197">
        <f t="shared" si="0"/>
        <v>0</v>
      </c>
      <c r="AM51" s="198"/>
      <c r="AN51" s="148"/>
      <c r="AO51" s="148"/>
      <c r="AP51" s="148"/>
      <c r="AQ51" s="148"/>
      <c r="AR51" s="148"/>
      <c r="AS51" s="148"/>
      <c r="AT51" s="148"/>
      <c r="AU51" s="148"/>
      <c r="AV51" s="148"/>
      <c r="AW51" s="148"/>
      <c r="AX51" s="148"/>
      <c r="AY51" s="148"/>
      <c r="AZ51" s="197">
        <f t="shared" si="1"/>
        <v>0</v>
      </c>
      <c r="BA51" s="199">
        <f t="shared" si="2"/>
        <v>0</v>
      </c>
      <c r="BB51" s="200"/>
      <c r="BC51" s="201">
        <f t="shared" si="3"/>
        <v>0</v>
      </c>
      <c r="BD51" s="202" t="str">
        <f>IF('Budget Opex Detail'!C51="","",IF(COUNTIFS('Activity Master Opex'!$B$4:$B$172,'Budget Opex Detail'!$C51)&gt;0,"","New Activity"))</f>
        <v/>
      </c>
      <c r="BE51" s="203"/>
      <c r="BF51" s="204"/>
      <c r="BG51" s="205"/>
      <c r="BH51" s="206"/>
      <c r="BI51" s="207"/>
      <c r="BJ51" s="207"/>
      <c r="BK51" s="208"/>
      <c r="BL51" s="153">
        <f t="shared" si="6"/>
        <v>0</v>
      </c>
      <c r="BM51" s="206"/>
      <c r="BN51" s="206"/>
      <c r="BO51" s="209">
        <f t="shared" si="4"/>
        <v>0</v>
      </c>
      <c r="BP51" s="210"/>
      <c r="BR51" s="212" t="str">
        <f>IF($H51="","",VLOOKUP($H51,'Master Data'!$B:$D,3,FALSE))</f>
        <v/>
      </c>
      <c r="BS51" s="212" t="str">
        <f t="shared" si="7"/>
        <v/>
      </c>
      <c r="BT51" s="212" t="str">
        <f>IF($H51="","",VLOOKUP(VALUE($H51),'Master Data'!B:I,8,FALSE))</f>
        <v/>
      </c>
    </row>
  </sheetData>
  <sheetProtection formatColumns="0" formatRows="0" sort="0" autoFilter="0" pivotTables="0"/>
  <autoFilter ref="A3:AR51" xr:uid="{00000000-0009-0000-0000-000003000000}"/>
  <dataValidations count="4">
    <dataValidation type="list" allowBlank="1" showInputMessage="1" showErrorMessage="1" sqref="BH4:BH51" xr:uid="{00000000-0002-0000-0300-000000000000}">
      <formula1>"Essentials, Moderate, Not Essentials"</formula1>
    </dataValidation>
    <dataValidation type="list" allowBlank="1" showInputMessage="1" showErrorMessage="1" sqref="BE4:BE51" xr:uid="{00000000-0002-0000-0300-000001000000}">
      <formula1>"Monthly Recurring, Periodically (Quarterly/Yearly) Recurring, One Off, Conditional"</formula1>
    </dataValidation>
    <dataValidation type="custom" showInputMessage="1" showErrorMessage="1" error="Pastikan Master Activity Number sudah terisi dan format isian adalah angka_x000a_" sqref="L4:W51" xr:uid="{00000000-0002-0000-0300-000003000000}">
      <formula1>AND(ISNUMBER(L4),$C4&lt;&gt;"")</formula1>
    </dataValidation>
    <dataValidation type="custom" showInputMessage="1" showErrorMessage="1" error="Pastikan Ledger Number dan Cost Center sudah terisi" sqref="AN4:AY51 Z4:AK51" xr:uid="{3E92F251-1F43-4813-BAEE-F4936064FD89}">
      <formula1>AND($A4&lt;&gt;"",$J4&lt;&gt;"")</formula1>
    </dataValidation>
  </dataValidations>
  <pageMargins left="0.7" right="0.7" top="0.75" bottom="0.75" header="0.3" footer="0.3"/>
  <pageSetup orientation="portrait" r:id="rId1"/>
  <ignoredErrors>
    <ignoredError sqref="E4" unlockedFormula="1"/>
    <ignoredError sqref="X4:X13 X14:X51"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11" id="{2BE05136-CD84-4C5A-835E-6001FF3BF3BE}">
            <x14:iconSet iconSet="3Triangles">
              <x14:cfvo type="percent">
                <xm:f>0</xm:f>
              </x14:cfvo>
              <x14:cfvo type="num">
                <xm:f>0</xm:f>
              </x14:cfvo>
              <x14:cfvo type="num" gte="0">
                <xm:f>0</xm:f>
              </x14:cfvo>
            </x14:iconSet>
          </x14:cfRule>
          <xm:sqref>BA4:BA51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12C588FE-0796-4A19-A8AC-D7EBE49218D9}">
          <x14:formula1>
            <xm:f>'Master Data'!$C$365:$C$367</xm:f>
          </x14:formula1>
          <xm:sqref>BG4:BG51</xm:sqref>
        </x14:dataValidation>
        <x14:dataValidation type="list" allowBlank="1" showInputMessage="1" showErrorMessage="1" xr:uid="{358A681E-4C20-443D-B0B1-7A668170CAB2}">
          <x14:formula1>
            <xm:f>'Master Data'!$B$372:$B$373</xm:f>
          </x14:formula1>
          <xm:sqref>BJ4:BJ51</xm:sqref>
        </x14:dataValidation>
        <x14:dataValidation type="list" allowBlank="1" showInputMessage="1" showErrorMessage="1" xr:uid="{2CD11C85-3AF4-4073-AE08-150143AB5965}">
          <x14:formula1>
            <xm:f>'Activity Master Opex'!$C:$C</xm:f>
          </x14:formula1>
          <xm:sqref>D4:D33 D36:D51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M101"/>
  <sheetViews>
    <sheetView showGridLines="0" topLeftCell="E1" zoomScale="80" zoomScaleNormal="80" workbookViewId="0">
      <selection activeCell="E9" sqref="E9"/>
    </sheetView>
  </sheetViews>
  <sheetFormatPr defaultColWidth="9.1796875" defaultRowHeight="14.5" x14ac:dyDescent="0.35"/>
  <cols>
    <col min="1" max="1" width="4.54296875" style="85" customWidth="1"/>
    <col min="2" max="2" width="30.1796875" style="85" bestFit="1" customWidth="1"/>
    <col min="3" max="3" width="38.26953125" style="85" bestFit="1" customWidth="1"/>
    <col min="4" max="4" width="13.54296875" style="85" customWidth="1"/>
    <col min="5" max="5" width="31.81640625" style="85" bestFit="1" customWidth="1"/>
    <col min="6" max="6" width="14.7265625" style="85" customWidth="1"/>
    <col min="7" max="7" width="56.26953125" style="85" customWidth="1"/>
    <col min="8" max="8" width="79.7265625" style="86" customWidth="1"/>
    <col min="9" max="9" width="14.81640625" style="85" customWidth="1"/>
    <col min="10" max="12" width="9.1796875" style="85"/>
    <col min="13" max="13" width="8.7265625" style="218" customWidth="1"/>
    <col min="14" max="16384" width="9.1796875" style="85"/>
  </cols>
  <sheetData>
    <row r="1" spans="1:13" ht="15" thickBot="1" x14ac:dyDescent="0.4">
      <c r="A1" s="217" t="e">
        <f>VLOOKUP(Cover!$D$9,#REF!,2,0)</f>
        <v>#REF!</v>
      </c>
      <c r="F1" s="217" t="s">
        <v>321</v>
      </c>
    </row>
    <row r="2" spans="1:13" x14ac:dyDescent="0.35">
      <c r="B2" s="346" t="s">
        <v>267</v>
      </c>
      <c r="C2" s="347"/>
      <c r="D2" s="347"/>
      <c r="E2" s="347"/>
      <c r="F2" s="347"/>
      <c r="G2" s="347"/>
      <c r="H2" s="348"/>
    </row>
    <row r="3" spans="1:13" s="219" customFormat="1" x14ac:dyDescent="0.35">
      <c r="B3" s="302" t="s">
        <v>326</v>
      </c>
      <c r="C3" s="220" t="s">
        <v>265</v>
      </c>
      <c r="D3" s="220" t="s">
        <v>32</v>
      </c>
      <c r="E3" s="220" t="s">
        <v>263</v>
      </c>
      <c r="F3" s="220" t="s">
        <v>264</v>
      </c>
      <c r="G3" s="220" t="s">
        <v>264</v>
      </c>
      <c r="H3" s="221" t="s">
        <v>227</v>
      </c>
      <c r="I3" s="222" t="s">
        <v>1239</v>
      </c>
      <c r="M3" s="223"/>
    </row>
    <row r="4" spans="1:13" s="219" customFormat="1" x14ac:dyDescent="0.35">
      <c r="B4" s="225" t="s">
        <v>448</v>
      </c>
      <c r="C4" s="303" t="s">
        <v>449</v>
      </c>
      <c r="D4" s="303" t="s">
        <v>144</v>
      </c>
      <c r="E4" s="303" t="s">
        <v>183</v>
      </c>
      <c r="F4" s="303">
        <v>61700030</v>
      </c>
      <c r="G4" s="303" t="str">
        <f>VLOOKUP(F4,'Master Data'!B:C,2,FALSE)</f>
        <v>RE - Rental Vehicle</v>
      </c>
      <c r="H4" s="226" t="s">
        <v>468</v>
      </c>
      <c r="I4" s="224">
        <f>IFERROR(VLOOKUP(F4,'Master Data'!B:B,1,FALSE),0)</f>
        <v>61700030</v>
      </c>
      <c r="M4" s="223" t="str">
        <f>B4</f>
        <v>BD001-00001</v>
      </c>
    </row>
    <row r="5" spans="1:13" s="219" customFormat="1" x14ac:dyDescent="0.35">
      <c r="B5" s="225" t="s">
        <v>450</v>
      </c>
      <c r="C5" s="303" t="s">
        <v>451</v>
      </c>
      <c r="D5" s="303" t="s">
        <v>144</v>
      </c>
      <c r="E5" s="303" t="s">
        <v>183</v>
      </c>
      <c r="F5" s="303">
        <v>61800020</v>
      </c>
      <c r="G5" s="303" t="str">
        <f>VLOOKUP(F5,'Master Data'!B:C,2,FALSE)</f>
        <v>PT Exp. - Postage and Courier</v>
      </c>
      <c r="H5" s="226" t="s">
        <v>442</v>
      </c>
      <c r="I5" s="224">
        <f>IFERROR(VLOOKUP(F5,'Master Data'!B:B,1,FALSE),0)</f>
        <v>61800020</v>
      </c>
      <c r="M5" s="223" t="str">
        <f t="shared" ref="M5:M57" si="0">B5</f>
        <v>BD001-00003</v>
      </c>
    </row>
    <row r="6" spans="1:13" s="219" customFormat="1" x14ac:dyDescent="0.35">
      <c r="B6" s="225" t="s">
        <v>452</v>
      </c>
      <c r="C6" s="303" t="s">
        <v>453</v>
      </c>
      <c r="D6" s="303" t="s">
        <v>144</v>
      </c>
      <c r="E6" s="303" t="s">
        <v>183</v>
      </c>
      <c r="F6" s="303">
        <v>61800030</v>
      </c>
      <c r="G6" s="303" t="str">
        <f>VLOOKUP(F6,'Master Data'!B:C,2,FALSE)</f>
        <v>PT Exp. - Stamp Duty</v>
      </c>
      <c r="H6" s="226" t="s">
        <v>469</v>
      </c>
      <c r="I6" s="224">
        <f>IFERROR(VLOOKUP(F6,'Master Data'!B:B,1,FALSE),0)</f>
        <v>61800030</v>
      </c>
      <c r="M6" s="223" t="str">
        <f t="shared" si="0"/>
        <v>BD001-00004</v>
      </c>
    </row>
    <row r="7" spans="1:13" s="219" customFormat="1" x14ac:dyDescent="0.35">
      <c r="B7" s="225" t="s">
        <v>454</v>
      </c>
      <c r="C7" s="303" t="s">
        <v>724</v>
      </c>
      <c r="D7" s="303" t="s">
        <v>144</v>
      </c>
      <c r="E7" s="303" t="s">
        <v>183</v>
      </c>
      <c r="F7" s="303">
        <v>62000040</v>
      </c>
      <c r="G7" s="303" t="str">
        <f>VLOOKUP(F7,'Master Data'!B:C,2,FALSE)</f>
        <v>Ent. Exp - Others Entertainment</v>
      </c>
      <c r="H7" s="226" t="s">
        <v>470</v>
      </c>
      <c r="I7" s="224">
        <f>IFERROR(VLOOKUP(F7,'Master Data'!B:B,1,FALSE),0)</f>
        <v>62000040</v>
      </c>
      <c r="M7" s="223" t="str">
        <f t="shared" si="0"/>
        <v>BD001-00005</v>
      </c>
    </row>
    <row r="8" spans="1:13" s="219" customFormat="1" x14ac:dyDescent="0.35">
      <c r="B8" s="225" t="s">
        <v>455</v>
      </c>
      <c r="C8" s="303" t="s">
        <v>456</v>
      </c>
      <c r="D8" s="303" t="s">
        <v>144</v>
      </c>
      <c r="E8" s="303" t="s">
        <v>183</v>
      </c>
      <c r="F8" s="303">
        <v>62000040</v>
      </c>
      <c r="G8" s="303" t="str">
        <f>VLOOKUP(F8,'Master Data'!B:C,2,FALSE)</f>
        <v>Ent. Exp - Others Entertainment</v>
      </c>
      <c r="H8" s="299" t="s">
        <v>471</v>
      </c>
      <c r="I8" s="224">
        <f>IFERROR(VLOOKUP(F8,'Master Data'!B:B,1,FALSE),0)</f>
        <v>62000040</v>
      </c>
      <c r="M8" s="223" t="str">
        <f t="shared" si="0"/>
        <v>BD001-00006</v>
      </c>
    </row>
    <row r="9" spans="1:13" s="219" customFormat="1" x14ac:dyDescent="0.35">
      <c r="B9" s="225" t="s">
        <v>457</v>
      </c>
      <c r="C9" s="303" t="s">
        <v>725</v>
      </c>
      <c r="D9" s="303" t="s">
        <v>144</v>
      </c>
      <c r="E9" s="303" t="s">
        <v>183</v>
      </c>
      <c r="F9" s="303">
        <v>62300010</v>
      </c>
      <c r="G9" s="303" t="str">
        <f>VLOOKUP(F9,'Master Data'!B:C,2,FALSE)</f>
        <v>Meeting Expenses</v>
      </c>
      <c r="H9" s="226" t="s">
        <v>472</v>
      </c>
      <c r="I9" s="224">
        <f>IFERROR(VLOOKUP(F9,'Master Data'!B:B,1,FALSE),0)</f>
        <v>62300010</v>
      </c>
      <c r="M9" s="223" t="str">
        <f t="shared" si="0"/>
        <v>BD001-00007</v>
      </c>
    </row>
    <row r="10" spans="1:13" s="219" customFormat="1" x14ac:dyDescent="0.35">
      <c r="B10" s="225" t="s">
        <v>458</v>
      </c>
      <c r="C10" s="303" t="s">
        <v>721</v>
      </c>
      <c r="D10" s="303" t="s">
        <v>144</v>
      </c>
      <c r="E10" s="303" t="s">
        <v>183</v>
      </c>
      <c r="F10" s="303">
        <v>62300010</v>
      </c>
      <c r="G10" s="303" t="str">
        <f>VLOOKUP(F10,'Master Data'!B:C,2,FALSE)</f>
        <v>Meeting Expenses</v>
      </c>
      <c r="H10" s="226" t="s">
        <v>473</v>
      </c>
      <c r="I10" s="224">
        <f>IFERROR(VLOOKUP(F10,'Master Data'!B:B,1,FALSE),0)</f>
        <v>62300010</v>
      </c>
      <c r="M10" s="223" t="str">
        <f t="shared" si="0"/>
        <v>BD001-00008</v>
      </c>
    </row>
    <row r="11" spans="1:13" s="219" customFormat="1" x14ac:dyDescent="0.35">
      <c r="B11" s="225" t="s">
        <v>459</v>
      </c>
      <c r="C11" s="303" t="s">
        <v>460</v>
      </c>
      <c r="D11" s="303" t="s">
        <v>144</v>
      </c>
      <c r="E11" s="303" t="s">
        <v>183</v>
      </c>
      <c r="F11" s="303">
        <v>62300010</v>
      </c>
      <c r="G11" s="303" t="str">
        <f>VLOOKUP(F11,'Master Data'!B:C,2,FALSE)</f>
        <v>Meeting Expenses</v>
      </c>
      <c r="H11" s="226" t="s">
        <v>474</v>
      </c>
      <c r="I11" s="224">
        <f>IFERROR(VLOOKUP(F11,'Master Data'!B:B,1,FALSE),0)</f>
        <v>62300010</v>
      </c>
      <c r="M11" s="223" t="str">
        <f t="shared" si="0"/>
        <v>BD001-00009</v>
      </c>
    </row>
    <row r="12" spans="1:13" s="219" customFormat="1" x14ac:dyDescent="0.35">
      <c r="B12" s="225" t="s">
        <v>461</v>
      </c>
      <c r="C12" s="303" t="s">
        <v>477</v>
      </c>
      <c r="D12" s="303" t="s">
        <v>144</v>
      </c>
      <c r="E12" s="303" t="s">
        <v>183</v>
      </c>
      <c r="F12" s="303">
        <v>62400030</v>
      </c>
      <c r="G12" s="303" t="str">
        <f>VLOOKUP(F12,'Master Data'!B:C,2,FALSE)</f>
        <v>Gen. Transp. Travelling Expenses</v>
      </c>
      <c r="H12" s="226" t="s">
        <v>477</v>
      </c>
      <c r="I12" s="224">
        <f>IFERROR(VLOOKUP(F12,'Master Data'!B:B,1,FALSE),0)</f>
        <v>62400030</v>
      </c>
      <c r="M12" s="223" t="str">
        <f t="shared" si="0"/>
        <v>BD001-00010</v>
      </c>
    </row>
    <row r="13" spans="1:13" s="219" customFormat="1" x14ac:dyDescent="0.35">
      <c r="B13" s="225" t="s">
        <v>462</v>
      </c>
      <c r="C13" s="303" t="s">
        <v>463</v>
      </c>
      <c r="D13" s="303" t="s">
        <v>144</v>
      </c>
      <c r="E13" s="303" t="s">
        <v>183</v>
      </c>
      <c r="F13" s="303">
        <v>61700070</v>
      </c>
      <c r="G13" s="303" t="str">
        <f>VLOOKUP(F13,'Master Data'!B:C,2,FALSE)</f>
        <v>RE - Rental Other</v>
      </c>
      <c r="H13" s="300" t="s">
        <v>475</v>
      </c>
      <c r="I13" s="224">
        <f>IFERROR(VLOOKUP(F13,'Master Data'!B:B,1,FALSE),0)</f>
        <v>61700070</v>
      </c>
      <c r="M13" s="223" t="str">
        <f t="shared" si="0"/>
        <v>BD001-00013</v>
      </c>
    </row>
    <row r="14" spans="1:13" s="219" customFormat="1" x14ac:dyDescent="0.35">
      <c r="B14" s="225" t="s">
        <v>464</v>
      </c>
      <c r="C14" s="303" t="s">
        <v>465</v>
      </c>
      <c r="D14" s="303" t="s">
        <v>144</v>
      </c>
      <c r="E14" s="303" t="s">
        <v>183</v>
      </c>
      <c r="F14" s="303">
        <v>62000020</v>
      </c>
      <c r="G14" s="303" t="str">
        <f>VLOOKUP(F14,'Master Data'!B:C,2,FALSE)</f>
        <v>Ent. Exp - Donation and Social Contribution</v>
      </c>
      <c r="H14" s="300" t="s">
        <v>465</v>
      </c>
      <c r="I14" s="224">
        <f>IFERROR(VLOOKUP(F14,'Master Data'!B:B,1,FALSE),0)</f>
        <v>62000020</v>
      </c>
      <c r="M14" s="223" t="str">
        <f t="shared" si="0"/>
        <v>BD001-00014</v>
      </c>
    </row>
    <row r="15" spans="1:13" s="219" customFormat="1" x14ac:dyDescent="0.35">
      <c r="B15" s="225" t="s">
        <v>466</v>
      </c>
      <c r="C15" s="303" t="s">
        <v>467</v>
      </c>
      <c r="D15" s="303" t="s">
        <v>144</v>
      </c>
      <c r="E15" s="303" t="s">
        <v>183</v>
      </c>
      <c r="F15" s="304">
        <v>62900020</v>
      </c>
      <c r="G15" s="303" t="str">
        <f>VLOOKUP(F15,'Master Data'!B:C,2,FALSE)</f>
        <v>Subscriptions and Periodicals</v>
      </c>
      <c r="H15" s="226" t="s">
        <v>476</v>
      </c>
      <c r="I15" s="224">
        <f>IFERROR(VLOOKUP(F15,'Master Data'!B:B,1,FALSE),0)</f>
        <v>62900020</v>
      </c>
      <c r="M15" s="223" t="str">
        <f t="shared" si="0"/>
        <v>BD001-00018</v>
      </c>
    </row>
    <row r="16" spans="1:13" s="219" customFormat="1" x14ac:dyDescent="0.35">
      <c r="B16" s="225" t="s">
        <v>478</v>
      </c>
      <c r="C16" s="303" t="s">
        <v>479</v>
      </c>
      <c r="D16" s="303" t="s">
        <v>144</v>
      </c>
      <c r="E16" s="303" t="s">
        <v>183</v>
      </c>
      <c r="F16" s="303">
        <v>61900090</v>
      </c>
      <c r="G16" s="303" t="str">
        <f>VLOOKUP(F16,'Master Data'!B:C,2,FALSE)</f>
        <v>PF - Other Professional Fees</v>
      </c>
      <c r="H16" s="226" t="s">
        <v>480</v>
      </c>
      <c r="I16" s="224">
        <f>IFERROR(VLOOKUP(F16,'Master Data'!B:B,1,FALSE),0)</f>
        <v>61900090</v>
      </c>
      <c r="M16" s="223" t="str">
        <f t="shared" si="0"/>
        <v>BD001-00019</v>
      </c>
    </row>
    <row r="17" spans="2:13" x14ac:dyDescent="0.35">
      <c r="B17" s="227" t="s">
        <v>545</v>
      </c>
      <c r="C17" s="303" t="s">
        <v>550</v>
      </c>
      <c r="D17" s="303" t="s">
        <v>144</v>
      </c>
      <c r="E17" s="303" t="s">
        <v>183</v>
      </c>
      <c r="F17" s="304">
        <v>62400040</v>
      </c>
      <c r="G17" s="303" t="str">
        <f>VLOOKUP(F17,'Master Data'!B:C,2,FALSE)</f>
        <v>Gen. Transp. Others</v>
      </c>
      <c r="H17" s="228" t="s">
        <v>116</v>
      </c>
      <c r="I17" s="224">
        <f>IFERROR(VLOOKUP(F17,'Master Data'!B:B,1,FALSE),0)</f>
        <v>62400040</v>
      </c>
      <c r="M17" s="223" t="str">
        <f t="shared" si="0"/>
        <v>BD001-00021</v>
      </c>
    </row>
    <row r="18" spans="2:13" x14ac:dyDescent="0.35">
      <c r="B18" s="227" t="s">
        <v>546</v>
      </c>
      <c r="C18" s="303" t="s">
        <v>551</v>
      </c>
      <c r="D18" s="303" t="s">
        <v>144</v>
      </c>
      <c r="E18" s="303" t="s">
        <v>183</v>
      </c>
      <c r="F18" s="304">
        <v>61900090</v>
      </c>
      <c r="G18" s="303" t="str">
        <f>VLOOKUP(F18,'Master Data'!B:C,2,FALSE)</f>
        <v>PF - Other Professional Fees</v>
      </c>
      <c r="H18" s="228" t="s">
        <v>94</v>
      </c>
      <c r="I18" s="224">
        <f>IFERROR(VLOOKUP(F18,'Master Data'!B:B,1,FALSE),0)</f>
        <v>61900090</v>
      </c>
      <c r="M18" s="223" t="str">
        <f t="shared" si="0"/>
        <v>BD001-00022</v>
      </c>
    </row>
    <row r="19" spans="2:13" x14ac:dyDescent="0.35">
      <c r="B19" s="227" t="s">
        <v>547</v>
      </c>
      <c r="C19" s="303" t="s">
        <v>552</v>
      </c>
      <c r="D19" s="303" t="s">
        <v>144</v>
      </c>
      <c r="E19" s="303" t="s">
        <v>183</v>
      </c>
      <c r="F19" s="304">
        <v>62600030</v>
      </c>
      <c r="G19" s="303" t="str">
        <f>VLOOKUP(F19,'Master Data'!B:C,2,FALSE)</f>
        <v>Office Equipment Expenses</v>
      </c>
      <c r="H19" s="228" t="s">
        <v>121</v>
      </c>
      <c r="I19" s="224">
        <f>IFERROR(VLOOKUP(F19,'Master Data'!B:B,1,FALSE),0)</f>
        <v>62600030</v>
      </c>
      <c r="M19" s="223" t="str">
        <f t="shared" si="0"/>
        <v>BD001-00023</v>
      </c>
    </row>
    <row r="20" spans="2:13" x14ac:dyDescent="0.35">
      <c r="B20" s="227" t="s">
        <v>548</v>
      </c>
      <c r="C20" s="303" t="s">
        <v>553</v>
      </c>
      <c r="D20" s="303" t="s">
        <v>144</v>
      </c>
      <c r="E20" s="303" t="s">
        <v>183</v>
      </c>
      <c r="F20" s="304">
        <v>62900020</v>
      </c>
      <c r="G20" s="303" t="str">
        <f>VLOOKUP(F20,'Master Data'!B:C,2,FALSE)</f>
        <v>Subscriptions and Periodicals</v>
      </c>
      <c r="H20" s="228" t="s">
        <v>124</v>
      </c>
      <c r="I20" s="224">
        <f>IFERROR(VLOOKUP(F20,'Master Data'!B:B,1,FALSE),0)</f>
        <v>62900020</v>
      </c>
      <c r="M20" s="223" t="str">
        <f t="shared" si="0"/>
        <v>BD001-00024</v>
      </c>
    </row>
    <row r="21" spans="2:13" x14ac:dyDescent="0.35">
      <c r="B21" s="227" t="s">
        <v>549</v>
      </c>
      <c r="C21" s="303" t="s">
        <v>554</v>
      </c>
      <c r="D21" s="303" t="s">
        <v>144</v>
      </c>
      <c r="E21" s="303" t="s">
        <v>183</v>
      </c>
      <c r="F21" s="304">
        <v>61100010</v>
      </c>
      <c r="G21" s="303" t="str">
        <f>VLOOKUP(F21,'Master Data'!B:C,2,FALSE)</f>
        <v>Steel  Laboratorium Expenses</v>
      </c>
      <c r="H21" s="228" t="s">
        <v>235</v>
      </c>
      <c r="I21" s="224">
        <f>IFERROR(VLOOKUP(F21,'Master Data'!B:B,1,FALSE),0)</f>
        <v>61100010</v>
      </c>
      <c r="M21" s="223" t="str">
        <f t="shared" si="0"/>
        <v>BD001-00025</v>
      </c>
    </row>
    <row r="22" spans="2:13" x14ac:dyDescent="0.35">
      <c r="B22" s="227" t="s">
        <v>572</v>
      </c>
      <c r="C22" s="303" t="s">
        <v>573</v>
      </c>
      <c r="D22" s="303" t="s">
        <v>499</v>
      </c>
      <c r="E22" s="303" t="s">
        <v>502</v>
      </c>
      <c r="F22" s="303">
        <v>62400030</v>
      </c>
      <c r="G22" s="303" t="str">
        <f>VLOOKUP(F22,'Master Data'!B:C,2,FALSE)</f>
        <v>Gen. Transp. Travelling Expenses</v>
      </c>
      <c r="H22" s="306" t="s">
        <v>114</v>
      </c>
      <c r="I22" s="224">
        <f>IFERROR(VLOOKUP(F22,'Master Data'!B:B,1,FALSE),0)</f>
        <v>62400030</v>
      </c>
      <c r="M22" s="223" t="str">
        <f t="shared" si="0"/>
        <v>BD002-00001</v>
      </c>
    </row>
    <row r="23" spans="2:13" x14ac:dyDescent="0.35">
      <c r="B23" s="227" t="s">
        <v>634</v>
      </c>
      <c r="C23" s="303" t="s">
        <v>727</v>
      </c>
      <c r="D23" s="303" t="s">
        <v>145</v>
      </c>
      <c r="E23" s="303" t="s">
        <v>633</v>
      </c>
      <c r="F23" s="303">
        <v>62300010</v>
      </c>
      <c r="G23" s="303" t="str">
        <f>VLOOKUP(F23,'Master Data'!B:C,2,FALSE)</f>
        <v>Meeting Expenses</v>
      </c>
      <c r="H23" s="306"/>
      <c r="I23" s="224">
        <f>IFERROR(VLOOKUP(F23,'Master Data'!B:B,1,FALSE),0)</f>
        <v>62300010</v>
      </c>
      <c r="M23" s="223" t="str">
        <f t="shared" si="0"/>
        <v>CP001-00006</v>
      </c>
    </row>
    <row r="24" spans="2:13" x14ac:dyDescent="0.35">
      <c r="B24" s="227" t="s">
        <v>635</v>
      </c>
      <c r="C24" s="303" t="s">
        <v>726</v>
      </c>
      <c r="D24" s="303" t="s">
        <v>145</v>
      </c>
      <c r="E24" s="303" t="s">
        <v>633</v>
      </c>
      <c r="F24" s="304">
        <v>61400030</v>
      </c>
      <c r="G24" s="303" t="str">
        <f>VLOOKUP(F24,'Master Data'!B:C,2,FALSE)</f>
        <v>AE - Exhibition and Sponsorship</v>
      </c>
      <c r="H24" s="306"/>
      <c r="I24" s="224">
        <f>IFERROR(VLOOKUP(F24,'Master Data'!B:B,1,FALSE),0)</f>
        <v>61400030</v>
      </c>
      <c r="M24" s="223" t="str">
        <f t="shared" si="0"/>
        <v>CP001-00007</v>
      </c>
    </row>
    <row r="25" spans="2:13" x14ac:dyDescent="0.35">
      <c r="B25" s="227" t="s">
        <v>636</v>
      </c>
      <c r="C25" s="303" t="s">
        <v>637</v>
      </c>
      <c r="D25" s="303" t="s">
        <v>145</v>
      </c>
      <c r="E25" s="303" t="s">
        <v>633</v>
      </c>
      <c r="F25" s="303">
        <v>62000020</v>
      </c>
      <c r="G25" s="303" t="str">
        <f>VLOOKUP(F25,'Master Data'!B:C,2,FALSE)</f>
        <v>Ent. Exp - Donation and Social Contribution</v>
      </c>
      <c r="H25" s="306"/>
      <c r="I25" s="224">
        <f>IFERROR(VLOOKUP(F25,'Master Data'!B:B,1,FALSE),0)</f>
        <v>62000020</v>
      </c>
      <c r="M25" s="223" t="str">
        <f t="shared" si="0"/>
        <v>CP001-00008</v>
      </c>
    </row>
    <row r="26" spans="2:13" x14ac:dyDescent="0.35">
      <c r="B26" s="227" t="s">
        <v>638</v>
      </c>
      <c r="C26" s="303" t="s">
        <v>625</v>
      </c>
      <c r="D26" s="303" t="s">
        <v>177</v>
      </c>
      <c r="E26" s="303" t="s">
        <v>217</v>
      </c>
      <c r="F26" s="304">
        <v>61400010</v>
      </c>
      <c r="G26" s="303" t="str">
        <f>VLOOKUP(F26,'Master Data'!B:C,2,FALSE)</f>
        <v>AE - Advertising and Promotion Expenses</v>
      </c>
      <c r="H26" s="306" t="s">
        <v>639</v>
      </c>
      <c r="I26" s="224">
        <f>IFERROR(VLOOKUP(F26,'Master Data'!B:B,1,FALSE),0)</f>
        <v>61400010</v>
      </c>
      <c r="M26" s="223" t="str">
        <f t="shared" si="0"/>
        <v>PR001-00001</v>
      </c>
    </row>
    <row r="27" spans="2:13" x14ac:dyDescent="0.35">
      <c r="B27" s="227" t="s">
        <v>640</v>
      </c>
      <c r="C27" s="303" t="s">
        <v>641</v>
      </c>
      <c r="D27" s="303" t="s">
        <v>177</v>
      </c>
      <c r="E27" s="303" t="s">
        <v>217</v>
      </c>
      <c r="F27" s="304">
        <v>61900090</v>
      </c>
      <c r="G27" s="303" t="str">
        <f>VLOOKUP(F27,'Master Data'!B:C,2,FALSE)</f>
        <v>PF - Other Professional Fees</v>
      </c>
      <c r="H27" s="306" t="s">
        <v>642</v>
      </c>
      <c r="I27" s="224">
        <f>IFERROR(VLOOKUP(F27,'Master Data'!B:B,1,FALSE),0)</f>
        <v>61900090</v>
      </c>
      <c r="M27" s="223" t="str">
        <f t="shared" si="0"/>
        <v>PR001-00002</v>
      </c>
    </row>
    <row r="28" spans="2:13" x14ac:dyDescent="0.35">
      <c r="B28" s="227" t="s">
        <v>643</v>
      </c>
      <c r="C28" s="303" t="s">
        <v>644</v>
      </c>
      <c r="D28" s="303" t="s">
        <v>177</v>
      </c>
      <c r="E28" s="303" t="s">
        <v>217</v>
      </c>
      <c r="F28" s="304">
        <v>61900090</v>
      </c>
      <c r="G28" s="303" t="str">
        <f>VLOOKUP(F28,'Master Data'!B:C,2,FALSE)</f>
        <v>PF - Other Professional Fees</v>
      </c>
      <c r="H28" s="306" t="s">
        <v>645</v>
      </c>
      <c r="I28" s="224">
        <f>IFERROR(VLOOKUP(F28,'Master Data'!B:B,1,FALSE),0)</f>
        <v>61900090</v>
      </c>
      <c r="M28" s="223" t="str">
        <f t="shared" si="0"/>
        <v>PR001-00003</v>
      </c>
    </row>
    <row r="29" spans="2:13" x14ac:dyDescent="0.35">
      <c r="B29" s="227" t="s">
        <v>646</v>
      </c>
      <c r="C29" s="303" t="s">
        <v>647</v>
      </c>
      <c r="D29" s="303" t="s">
        <v>177</v>
      </c>
      <c r="E29" s="303" t="s">
        <v>217</v>
      </c>
      <c r="F29" s="304">
        <v>61900090</v>
      </c>
      <c r="G29" s="303" t="str">
        <f>VLOOKUP(F29,'Master Data'!B:C,2,FALSE)</f>
        <v>PF - Other Professional Fees</v>
      </c>
      <c r="H29" s="306" t="s">
        <v>648</v>
      </c>
      <c r="I29" s="224">
        <f>IFERROR(VLOOKUP(F29,'Master Data'!B:B,1,FALSE),0)</f>
        <v>61900090</v>
      </c>
      <c r="M29" s="223" t="str">
        <f t="shared" si="0"/>
        <v>PR001-00004</v>
      </c>
    </row>
    <row r="30" spans="2:13" x14ac:dyDescent="0.35">
      <c r="B30" s="227" t="s">
        <v>649</v>
      </c>
      <c r="C30" s="303" t="s">
        <v>626</v>
      </c>
      <c r="D30" s="303" t="s">
        <v>179</v>
      </c>
      <c r="E30" s="303" t="s">
        <v>650</v>
      </c>
      <c r="F30" s="304">
        <v>61400010</v>
      </c>
      <c r="G30" s="303" t="str">
        <f>VLOOKUP(F30,'Master Data'!B:C,2,FALSE)</f>
        <v>AE - Advertising and Promotion Expenses</v>
      </c>
      <c r="H30" s="306" t="s">
        <v>651</v>
      </c>
      <c r="I30" s="224">
        <f>IFERROR(VLOOKUP(F30,'Master Data'!B:B,1,FALSE),0)</f>
        <v>61400010</v>
      </c>
      <c r="M30" s="223" t="str">
        <f t="shared" si="0"/>
        <v>PR002-00001</v>
      </c>
    </row>
    <row r="31" spans="2:13" x14ac:dyDescent="0.35">
      <c r="B31" s="227" t="s">
        <v>652</v>
      </c>
      <c r="C31" s="303" t="s">
        <v>627</v>
      </c>
      <c r="D31" s="303" t="s">
        <v>179</v>
      </c>
      <c r="E31" s="303" t="s">
        <v>650</v>
      </c>
      <c r="F31" s="304">
        <v>61400010</v>
      </c>
      <c r="G31" s="303" t="str">
        <f>VLOOKUP(F31,'Master Data'!B:C,2,FALSE)</f>
        <v>AE - Advertising and Promotion Expenses</v>
      </c>
      <c r="H31" s="306" t="s">
        <v>653</v>
      </c>
      <c r="I31" s="224">
        <f>IFERROR(VLOOKUP(F31,'Master Data'!B:B,1,FALSE),0)</f>
        <v>61400010</v>
      </c>
      <c r="M31" s="223" t="str">
        <f t="shared" si="0"/>
        <v>PR002-00002</v>
      </c>
    </row>
    <row r="32" spans="2:13" x14ac:dyDescent="0.35">
      <c r="B32" s="227" t="s">
        <v>654</v>
      </c>
      <c r="C32" s="303" t="s">
        <v>628</v>
      </c>
      <c r="D32" s="303" t="s">
        <v>179</v>
      </c>
      <c r="E32" s="303" t="s">
        <v>650</v>
      </c>
      <c r="F32" s="304">
        <v>61400020</v>
      </c>
      <c r="G32" s="303" t="str">
        <f>VLOOKUP(F32,'Master Data'!B:C,2,FALSE)</f>
        <v>AE - Material and Gift</v>
      </c>
      <c r="H32" s="306" t="s">
        <v>655</v>
      </c>
      <c r="I32" s="224">
        <f>IFERROR(VLOOKUP(F32,'Master Data'!B:B,1,FALSE),0)</f>
        <v>61400020</v>
      </c>
      <c r="M32" s="223" t="str">
        <f t="shared" si="0"/>
        <v>PR002-00003</v>
      </c>
    </row>
    <row r="33" spans="2:13" x14ac:dyDescent="0.35">
      <c r="B33" s="227" t="s">
        <v>656</v>
      </c>
      <c r="C33" s="303" t="s">
        <v>728</v>
      </c>
      <c r="D33" s="303" t="s">
        <v>179</v>
      </c>
      <c r="E33" s="303" t="s">
        <v>650</v>
      </c>
      <c r="F33" s="304">
        <v>61400030</v>
      </c>
      <c r="G33" s="303" t="str">
        <f>VLOOKUP(F33,'Master Data'!B:C,2,FALSE)</f>
        <v>AE - Exhibition and Sponsorship</v>
      </c>
      <c r="H33" s="306" t="s">
        <v>657</v>
      </c>
      <c r="I33" s="224">
        <f>IFERROR(VLOOKUP(F33,'Master Data'!B:B,1,FALSE),0)</f>
        <v>61400030</v>
      </c>
      <c r="M33" s="223" t="str">
        <f t="shared" si="0"/>
        <v>PR002-00004</v>
      </c>
    </row>
    <row r="34" spans="2:13" x14ac:dyDescent="0.35">
      <c r="B34" s="227" t="s">
        <v>658</v>
      </c>
      <c r="C34" s="303" t="s">
        <v>659</v>
      </c>
      <c r="D34" s="303" t="s">
        <v>179</v>
      </c>
      <c r="E34" s="303" t="s">
        <v>650</v>
      </c>
      <c r="F34" s="304">
        <v>61400030</v>
      </c>
      <c r="G34" s="303" t="str">
        <f>VLOOKUP(F34,'Master Data'!B:C,2,FALSE)</f>
        <v>AE - Exhibition and Sponsorship</v>
      </c>
      <c r="H34" s="306" t="s">
        <v>660</v>
      </c>
      <c r="I34" s="224">
        <f>IFERROR(VLOOKUP(F34,'Master Data'!B:B,1,FALSE),0)</f>
        <v>61400030</v>
      </c>
      <c r="M34" s="223" t="str">
        <f t="shared" si="0"/>
        <v>PR002-00005</v>
      </c>
    </row>
    <row r="35" spans="2:13" x14ac:dyDescent="0.35">
      <c r="B35" s="227" t="s">
        <v>661</v>
      </c>
      <c r="C35" s="303" t="s">
        <v>722</v>
      </c>
      <c r="D35" s="303" t="s">
        <v>179</v>
      </c>
      <c r="E35" s="303" t="s">
        <v>650</v>
      </c>
      <c r="F35" s="304">
        <v>62200020</v>
      </c>
      <c r="G35" s="303" t="str">
        <f>VLOOKUP(F35,'Master Data'!B:C,2,FALSE)</f>
        <v>Printing and Supplies Expenses</v>
      </c>
      <c r="H35" s="306" t="s">
        <v>662</v>
      </c>
      <c r="I35" s="224">
        <f>IFERROR(VLOOKUP(F35,'Master Data'!B:B,1,FALSE),0)</f>
        <v>62200020</v>
      </c>
      <c r="M35" s="223" t="str">
        <f t="shared" si="0"/>
        <v>PR002-00007</v>
      </c>
    </row>
    <row r="36" spans="2:13" x14ac:dyDescent="0.35">
      <c r="B36" s="227" t="s">
        <v>663</v>
      </c>
      <c r="C36" s="303" t="s">
        <v>315</v>
      </c>
      <c r="D36" s="303" t="s">
        <v>179</v>
      </c>
      <c r="E36" s="303" t="s">
        <v>650</v>
      </c>
      <c r="F36" s="304">
        <v>62600030</v>
      </c>
      <c r="G36" s="303" t="str">
        <f>VLOOKUP(F36,'Master Data'!B:C,2,FALSE)</f>
        <v>Office Equipment Expenses</v>
      </c>
      <c r="H36" s="306" t="s">
        <v>315</v>
      </c>
      <c r="I36" s="224">
        <f>IFERROR(VLOOKUP(F36,'Master Data'!B:B,1,FALSE),0)</f>
        <v>62600030</v>
      </c>
      <c r="M36" s="223" t="str">
        <f t="shared" si="0"/>
        <v>PR002-00008</v>
      </c>
    </row>
    <row r="37" spans="2:13" x14ac:dyDescent="0.35">
      <c r="B37" s="227" t="s">
        <v>664</v>
      </c>
      <c r="C37" s="303" t="s">
        <v>665</v>
      </c>
      <c r="D37" s="303" t="s">
        <v>179</v>
      </c>
      <c r="E37" s="303" t="s">
        <v>650</v>
      </c>
      <c r="F37" s="304">
        <v>62900020</v>
      </c>
      <c r="G37" s="303" t="str">
        <f>VLOOKUP(F37,'Master Data'!B:C,2,FALSE)</f>
        <v>Subscriptions and Periodicals</v>
      </c>
      <c r="H37" s="306" t="s">
        <v>124</v>
      </c>
      <c r="I37" s="224">
        <f>IFERROR(VLOOKUP(F37,'Master Data'!B:B,1,FALSE),0)</f>
        <v>62900020</v>
      </c>
      <c r="M37" s="223" t="str">
        <f t="shared" si="0"/>
        <v>PR002-00009</v>
      </c>
    </row>
    <row r="38" spans="2:13" x14ac:dyDescent="0.35">
      <c r="B38" s="227" t="s">
        <v>666</v>
      </c>
      <c r="C38" s="303" t="s">
        <v>629</v>
      </c>
      <c r="D38" s="303" t="s">
        <v>179</v>
      </c>
      <c r="E38" s="303" t="s">
        <v>650</v>
      </c>
      <c r="F38" s="304">
        <v>62900020</v>
      </c>
      <c r="G38" s="303" t="str">
        <f>VLOOKUP(F38,'Master Data'!B:C,2,FALSE)</f>
        <v>Subscriptions and Periodicals</v>
      </c>
      <c r="H38" s="306" t="s">
        <v>667</v>
      </c>
      <c r="I38" s="224">
        <f>IFERROR(VLOOKUP(F38,'Master Data'!B:B,1,FALSE),0)</f>
        <v>62900020</v>
      </c>
      <c r="M38" s="223" t="str">
        <f t="shared" si="0"/>
        <v>PR002-00010</v>
      </c>
    </row>
    <row r="39" spans="2:13" x14ac:dyDescent="0.35">
      <c r="B39" s="227" t="s">
        <v>668</v>
      </c>
      <c r="C39" s="303" t="s">
        <v>669</v>
      </c>
      <c r="D39" s="303" t="s">
        <v>179</v>
      </c>
      <c r="E39" s="303" t="s">
        <v>650</v>
      </c>
      <c r="F39" s="304">
        <v>61400010</v>
      </c>
      <c r="G39" s="303" t="str">
        <f>VLOOKUP(F39,'Master Data'!B:C,2,FALSE)</f>
        <v>AE - Advertising and Promotion Expenses</v>
      </c>
      <c r="H39" s="306"/>
      <c r="I39" s="224">
        <f>IFERROR(VLOOKUP(F39,'Master Data'!B:B,1,FALSE),0)</f>
        <v>61400010</v>
      </c>
      <c r="M39" s="223" t="str">
        <f t="shared" si="0"/>
        <v>PR002-00011</v>
      </c>
    </row>
    <row r="40" spans="2:13" x14ac:dyDescent="0.35">
      <c r="B40" s="227" t="s">
        <v>670</v>
      </c>
      <c r="C40" s="303" t="s">
        <v>671</v>
      </c>
      <c r="D40" s="303" t="s">
        <v>179</v>
      </c>
      <c r="E40" s="303" t="s">
        <v>650</v>
      </c>
      <c r="F40" s="304">
        <v>62300020</v>
      </c>
      <c r="G40" s="303" t="str">
        <f>VLOOKUP(F40,'Master Data'!B:C,2,FALSE)</f>
        <v>Ceremony Expenses</v>
      </c>
      <c r="H40" s="306"/>
      <c r="I40" s="224">
        <f>IFERROR(VLOOKUP(F40,'Master Data'!B:B,1,FALSE),0)</f>
        <v>62300020</v>
      </c>
      <c r="M40" s="223" t="str">
        <f t="shared" si="0"/>
        <v>PR002-00012</v>
      </c>
    </row>
    <row r="41" spans="2:13" x14ac:dyDescent="0.35">
      <c r="B41" s="227" t="s">
        <v>672</v>
      </c>
      <c r="C41" s="303" t="s">
        <v>673</v>
      </c>
      <c r="D41" s="303" t="s">
        <v>179</v>
      </c>
      <c r="E41" s="303" t="s">
        <v>650</v>
      </c>
      <c r="F41" s="304">
        <v>62300020</v>
      </c>
      <c r="G41" s="303" t="str">
        <f>VLOOKUP(F41,'Master Data'!B:C,2,FALSE)</f>
        <v>Ceremony Expenses</v>
      </c>
      <c r="H41" s="306"/>
      <c r="I41" s="224">
        <f>IFERROR(VLOOKUP(F41,'Master Data'!B:B,1,FALSE),0)</f>
        <v>62300020</v>
      </c>
      <c r="M41" s="223" t="str">
        <f t="shared" si="0"/>
        <v>PR002-00013</v>
      </c>
    </row>
    <row r="42" spans="2:13" x14ac:dyDescent="0.35">
      <c r="B42" s="227" t="s">
        <v>674</v>
      </c>
      <c r="C42" s="303" t="s">
        <v>729</v>
      </c>
      <c r="D42" s="303" t="s">
        <v>179</v>
      </c>
      <c r="E42" s="303" t="s">
        <v>650</v>
      </c>
      <c r="F42" s="303">
        <v>62300010</v>
      </c>
      <c r="G42" s="303" t="str">
        <f>VLOOKUP(F42,'Master Data'!B:C,2,FALSE)</f>
        <v>Meeting Expenses</v>
      </c>
      <c r="H42" s="306"/>
      <c r="I42" s="224">
        <f>IFERROR(VLOOKUP(F42,'Master Data'!B:B,1,FALSE),0)</f>
        <v>62300010</v>
      </c>
      <c r="M42" s="223" t="str">
        <f t="shared" si="0"/>
        <v>PR002-00014</v>
      </c>
    </row>
    <row r="43" spans="2:13" x14ac:dyDescent="0.35">
      <c r="B43" s="227" t="s">
        <v>675</v>
      </c>
      <c r="C43" s="303" t="s">
        <v>676</v>
      </c>
      <c r="D43" s="303" t="s">
        <v>179</v>
      </c>
      <c r="E43" s="303" t="s">
        <v>650</v>
      </c>
      <c r="F43" s="303">
        <v>62000040</v>
      </c>
      <c r="G43" s="303" t="str">
        <f>VLOOKUP(F43,'Master Data'!B:C,2,FALSE)</f>
        <v>Ent. Exp - Others Entertainment</v>
      </c>
      <c r="H43" s="306"/>
      <c r="I43" s="224">
        <f>IFERROR(VLOOKUP(F43,'Master Data'!B:B,1,FALSE),0)</f>
        <v>62000040</v>
      </c>
      <c r="M43" s="223" t="str">
        <f t="shared" si="0"/>
        <v>PR002-00015</v>
      </c>
    </row>
    <row r="44" spans="2:13" x14ac:dyDescent="0.35">
      <c r="B44" s="227" t="s">
        <v>677</v>
      </c>
      <c r="C44" s="303" t="s">
        <v>719</v>
      </c>
      <c r="D44" s="303" t="s">
        <v>179</v>
      </c>
      <c r="E44" s="303" t="s">
        <v>650</v>
      </c>
      <c r="F44" s="303">
        <v>62400030</v>
      </c>
      <c r="G44" s="303" t="str">
        <f>VLOOKUP(F44,'Master Data'!B:C,2,FALSE)</f>
        <v>Gen. Transp. Travelling Expenses</v>
      </c>
      <c r="H44" s="306"/>
      <c r="I44" s="224">
        <f>IFERROR(VLOOKUP(F44,'Master Data'!B:B,1,FALSE),0)</f>
        <v>62400030</v>
      </c>
      <c r="M44" s="223" t="str">
        <f t="shared" si="0"/>
        <v>PR002-00016</v>
      </c>
    </row>
    <row r="45" spans="2:13" x14ac:dyDescent="0.35">
      <c r="B45" s="227" t="s">
        <v>678</v>
      </c>
      <c r="C45" s="303" t="s">
        <v>679</v>
      </c>
      <c r="D45" s="303" t="s">
        <v>179</v>
      </c>
      <c r="E45" s="303" t="s">
        <v>650</v>
      </c>
      <c r="F45" s="303">
        <v>62000040</v>
      </c>
      <c r="G45" s="303" t="str">
        <f>VLOOKUP(F45,'Master Data'!B:C,2,FALSE)</f>
        <v>Ent. Exp - Others Entertainment</v>
      </c>
      <c r="H45" s="306"/>
      <c r="I45" s="224">
        <f>IFERROR(VLOOKUP(F45,'Master Data'!B:B,1,FALSE),0)</f>
        <v>62000040</v>
      </c>
      <c r="M45" s="223" t="str">
        <f t="shared" si="0"/>
        <v>PR002-00017</v>
      </c>
    </row>
    <row r="46" spans="2:13" x14ac:dyDescent="0.35">
      <c r="B46" s="227" t="s">
        <v>680</v>
      </c>
      <c r="C46" s="303" t="s">
        <v>681</v>
      </c>
      <c r="D46" s="303" t="s">
        <v>179</v>
      </c>
      <c r="E46" s="303" t="s">
        <v>650</v>
      </c>
      <c r="F46" s="304">
        <v>62900020</v>
      </c>
      <c r="G46" s="303" t="str">
        <f>VLOOKUP(F46,'Master Data'!B:C,2,FALSE)</f>
        <v>Subscriptions and Periodicals</v>
      </c>
      <c r="H46" s="306" t="s">
        <v>1274</v>
      </c>
      <c r="I46" s="224">
        <f>IFERROR(VLOOKUP(F46,'Master Data'!B:B,1,FALSE),0)</f>
        <v>62900020</v>
      </c>
      <c r="M46" s="223" t="str">
        <f t="shared" si="0"/>
        <v>PR002-00018</v>
      </c>
    </row>
    <row r="47" spans="2:13" x14ac:dyDescent="0.35">
      <c r="B47" s="227" t="s">
        <v>682</v>
      </c>
      <c r="C47" s="303" t="s">
        <v>683</v>
      </c>
      <c r="D47" s="303" t="s">
        <v>179</v>
      </c>
      <c r="E47" s="303" t="s">
        <v>650</v>
      </c>
      <c r="F47" s="304">
        <v>62900020</v>
      </c>
      <c r="G47" s="303" t="str">
        <f>VLOOKUP(F47,'Master Data'!B:C,2,FALSE)</f>
        <v>Subscriptions and Periodicals</v>
      </c>
      <c r="H47" s="306" t="s">
        <v>1274</v>
      </c>
      <c r="I47" s="224">
        <f>IFERROR(VLOOKUP(F47,'Master Data'!B:B,1,FALSE),0)</f>
        <v>62900020</v>
      </c>
      <c r="M47" s="223" t="str">
        <f t="shared" si="0"/>
        <v>PR002-00019</v>
      </c>
    </row>
    <row r="48" spans="2:13" x14ac:dyDescent="0.35">
      <c r="B48" s="227" t="s">
        <v>684</v>
      </c>
      <c r="C48" s="303" t="s">
        <v>630</v>
      </c>
      <c r="D48" s="303" t="s">
        <v>179</v>
      </c>
      <c r="E48" s="303" t="s">
        <v>650</v>
      </c>
      <c r="F48" s="304">
        <v>62900020</v>
      </c>
      <c r="G48" s="303" t="str">
        <f>VLOOKUP(F48,'Master Data'!B:C,2,FALSE)</f>
        <v>Subscriptions and Periodicals</v>
      </c>
      <c r="H48" s="306" t="s">
        <v>1274</v>
      </c>
      <c r="I48" s="224">
        <f>IFERROR(VLOOKUP(F48,'Master Data'!B:B,1,FALSE),0)</f>
        <v>62900020</v>
      </c>
      <c r="M48" s="223" t="str">
        <f t="shared" si="0"/>
        <v>PR002-00020</v>
      </c>
    </row>
    <row r="49" spans="2:13" x14ac:dyDescent="0.35">
      <c r="B49" s="227" t="s">
        <v>685</v>
      </c>
      <c r="C49" s="303" t="s">
        <v>686</v>
      </c>
      <c r="D49" s="303" t="s">
        <v>179</v>
      </c>
      <c r="E49" s="303" t="s">
        <v>650</v>
      </c>
      <c r="F49" s="304">
        <v>62900020</v>
      </c>
      <c r="G49" s="303" t="str">
        <f>VLOOKUP(F49,'Master Data'!B:C,2,FALSE)</f>
        <v>Subscriptions and Periodicals</v>
      </c>
      <c r="H49" s="306" t="s">
        <v>1274</v>
      </c>
      <c r="I49" s="224">
        <f>IFERROR(VLOOKUP(F49,'Master Data'!B:B,1,FALSE),0)</f>
        <v>62900020</v>
      </c>
      <c r="M49" s="223" t="str">
        <f t="shared" si="0"/>
        <v>PR002-00021</v>
      </c>
    </row>
    <row r="50" spans="2:13" x14ac:dyDescent="0.35">
      <c r="B50" s="227" t="s">
        <v>687</v>
      </c>
      <c r="C50" s="303" t="s">
        <v>688</v>
      </c>
      <c r="D50" s="303" t="s">
        <v>179</v>
      </c>
      <c r="E50" s="303" t="s">
        <v>650</v>
      </c>
      <c r="F50" s="304">
        <v>62900020</v>
      </c>
      <c r="G50" s="303" t="str">
        <f>VLOOKUP(F50,'Master Data'!B:C,2,FALSE)</f>
        <v>Subscriptions and Periodicals</v>
      </c>
      <c r="H50" s="306" t="s">
        <v>1274</v>
      </c>
      <c r="I50" s="224">
        <f>IFERROR(VLOOKUP(F50,'Master Data'!B:B,1,FALSE),0)</f>
        <v>62900020</v>
      </c>
      <c r="M50" s="223" t="str">
        <f t="shared" si="0"/>
        <v>PR002-00022</v>
      </c>
    </row>
    <row r="51" spans="2:13" x14ac:dyDescent="0.35">
      <c r="B51" s="227" t="s">
        <v>689</v>
      </c>
      <c r="C51" s="303" t="s">
        <v>690</v>
      </c>
      <c r="D51" s="303" t="s">
        <v>179</v>
      </c>
      <c r="E51" s="303" t="s">
        <v>650</v>
      </c>
      <c r="F51" s="304">
        <v>62900020</v>
      </c>
      <c r="G51" s="303" t="str">
        <f>VLOOKUP(F51,'Master Data'!B:C,2,FALSE)</f>
        <v>Subscriptions and Periodicals</v>
      </c>
      <c r="H51" s="306" t="s">
        <v>1274</v>
      </c>
      <c r="I51" s="224">
        <f>IFERROR(VLOOKUP(F51,'Master Data'!B:B,1,FALSE),0)</f>
        <v>62900020</v>
      </c>
      <c r="M51" s="223" t="str">
        <f t="shared" si="0"/>
        <v>PR002-00023</v>
      </c>
    </row>
    <row r="52" spans="2:13" x14ac:dyDescent="0.35">
      <c r="B52" s="227" t="s">
        <v>691</v>
      </c>
      <c r="C52" s="303" t="s">
        <v>692</v>
      </c>
      <c r="D52" s="303" t="s">
        <v>179</v>
      </c>
      <c r="E52" s="303" t="s">
        <v>650</v>
      </c>
      <c r="F52" s="304">
        <v>62300020</v>
      </c>
      <c r="G52" s="303" t="str">
        <f>VLOOKUP(F52,'Master Data'!B:C,2,FALSE)</f>
        <v>Ceremony Expenses</v>
      </c>
      <c r="H52" s="306" t="s">
        <v>1275</v>
      </c>
      <c r="I52" s="224">
        <f>IFERROR(VLOOKUP(F52,'Master Data'!B:B,1,FALSE),0)</f>
        <v>62300020</v>
      </c>
      <c r="M52" s="223" t="str">
        <f t="shared" si="0"/>
        <v>PR002-00024</v>
      </c>
    </row>
    <row r="53" spans="2:13" x14ac:dyDescent="0.35">
      <c r="B53" s="227" t="s">
        <v>693</v>
      </c>
      <c r="C53" s="303" t="s">
        <v>694</v>
      </c>
      <c r="D53" s="303" t="s">
        <v>179</v>
      </c>
      <c r="E53" s="303" t="s">
        <v>650</v>
      </c>
      <c r="F53" s="304">
        <v>61900090</v>
      </c>
      <c r="G53" s="303" t="str">
        <f>VLOOKUP(F53,'Master Data'!B:C,2,FALSE)</f>
        <v>PF - Other Professional Fees</v>
      </c>
      <c r="H53" s="306"/>
      <c r="I53" s="224">
        <f>IFERROR(VLOOKUP(F53,'Master Data'!B:B,1,FALSE),0)</f>
        <v>61900090</v>
      </c>
      <c r="M53" s="223" t="str">
        <f t="shared" si="0"/>
        <v>PR002-00025</v>
      </c>
    </row>
    <row r="54" spans="2:13" x14ac:dyDescent="0.35">
      <c r="B54" s="227" t="s">
        <v>695</v>
      </c>
      <c r="C54" s="303" t="s">
        <v>696</v>
      </c>
      <c r="D54" s="303" t="s">
        <v>179</v>
      </c>
      <c r="E54" s="303" t="s">
        <v>650</v>
      </c>
      <c r="F54" s="304">
        <v>62300020</v>
      </c>
      <c r="G54" s="303" t="str">
        <f>VLOOKUP(F54,'Master Data'!B:C,2,FALSE)</f>
        <v>Ceremony Expenses</v>
      </c>
      <c r="H54" s="306" t="s">
        <v>1275</v>
      </c>
      <c r="I54" s="224">
        <f>IFERROR(VLOOKUP(F54,'Master Data'!B:B,1,FALSE),0)</f>
        <v>62300020</v>
      </c>
      <c r="M54" s="223" t="str">
        <f t="shared" si="0"/>
        <v>PR002-00026</v>
      </c>
    </row>
    <row r="55" spans="2:13" x14ac:dyDescent="0.35">
      <c r="B55" s="227" t="s">
        <v>697</v>
      </c>
      <c r="C55" s="303" t="s">
        <v>698</v>
      </c>
      <c r="D55" s="303" t="s">
        <v>179</v>
      </c>
      <c r="E55" s="303" t="s">
        <v>650</v>
      </c>
      <c r="F55" s="303">
        <v>61700030</v>
      </c>
      <c r="G55" s="303" t="str">
        <f>VLOOKUP(F55,'Master Data'!B:C,2,FALSE)</f>
        <v>RE - Rental Vehicle</v>
      </c>
      <c r="H55" s="306"/>
      <c r="I55" s="224">
        <f>IFERROR(VLOOKUP(F55,'Master Data'!B:B,1,FALSE),0)</f>
        <v>61700030</v>
      </c>
      <c r="M55" s="223" t="str">
        <f t="shared" si="0"/>
        <v>PR002-00028</v>
      </c>
    </row>
    <row r="56" spans="2:13" x14ac:dyDescent="0.35">
      <c r="B56" s="227" t="s">
        <v>699</v>
      </c>
      <c r="C56" s="303" t="s">
        <v>700</v>
      </c>
      <c r="D56" s="303" t="s">
        <v>179</v>
      </c>
      <c r="E56" s="303" t="s">
        <v>650</v>
      </c>
      <c r="F56" s="304">
        <v>62300020</v>
      </c>
      <c r="G56" s="303" t="str">
        <f>VLOOKUP(F56,'Master Data'!B:C,2,FALSE)</f>
        <v>Ceremony Expenses</v>
      </c>
      <c r="H56" s="306"/>
      <c r="I56" s="224">
        <f>IFERROR(VLOOKUP(F56,'Master Data'!B:B,1,FALSE),0)</f>
        <v>62300020</v>
      </c>
      <c r="M56" s="223" t="str">
        <f t="shared" si="0"/>
        <v>PR002-00029</v>
      </c>
    </row>
    <row r="57" spans="2:13" x14ac:dyDescent="0.35">
      <c r="B57" s="227" t="s">
        <v>701</v>
      </c>
      <c r="C57" s="303" t="s">
        <v>702</v>
      </c>
      <c r="D57" s="303" t="s">
        <v>179</v>
      </c>
      <c r="E57" s="303" t="s">
        <v>650</v>
      </c>
      <c r="F57" s="303">
        <v>62000020</v>
      </c>
      <c r="G57" s="303" t="str">
        <f>VLOOKUP(F57,'Master Data'!B:C,2,FALSE)</f>
        <v>Ent. Exp - Donation and Social Contribution</v>
      </c>
      <c r="H57" s="306"/>
      <c r="I57" s="224">
        <f>IFERROR(VLOOKUP(F57,'Master Data'!B:B,1,FALSE),0)</f>
        <v>62000020</v>
      </c>
      <c r="M57" s="223" t="str">
        <f t="shared" si="0"/>
        <v>PR002-00030</v>
      </c>
    </row>
    <row r="58" spans="2:13" x14ac:dyDescent="0.35">
      <c r="B58" s="227" t="s">
        <v>703</v>
      </c>
      <c r="C58" s="303" t="s">
        <v>730</v>
      </c>
      <c r="D58" s="303" t="s">
        <v>179</v>
      </c>
      <c r="E58" s="303" t="s">
        <v>650</v>
      </c>
      <c r="F58" s="303">
        <v>62000040</v>
      </c>
      <c r="G58" s="303" t="str">
        <f>VLOOKUP(F58,'Master Data'!B:C,2,FALSE)</f>
        <v>Ent. Exp - Others Entertainment</v>
      </c>
      <c r="H58" s="306"/>
      <c r="I58" s="224">
        <f>IFERROR(VLOOKUP(F58,'Master Data'!B:B,1,FALSE),0)</f>
        <v>62000040</v>
      </c>
      <c r="M58" s="223" t="str">
        <f t="shared" ref="M58:M79" si="1">B58</f>
        <v>PR002-00032</v>
      </c>
    </row>
    <row r="59" spans="2:13" x14ac:dyDescent="0.35">
      <c r="B59" s="227" t="s">
        <v>704</v>
      </c>
      <c r="C59" s="303" t="s">
        <v>705</v>
      </c>
      <c r="D59" s="303" t="s">
        <v>179</v>
      </c>
      <c r="E59" s="303" t="s">
        <v>650</v>
      </c>
      <c r="F59" s="303">
        <v>61700070</v>
      </c>
      <c r="G59" s="303" t="str">
        <f>VLOOKUP(F59,'Master Data'!B:C,2,FALSE)</f>
        <v>RE - Rental Other</v>
      </c>
      <c r="H59" s="306"/>
      <c r="I59" s="224">
        <f>IFERROR(VLOOKUP(F59,'Master Data'!B:B,1,FALSE),0)</f>
        <v>61700070</v>
      </c>
      <c r="M59" s="223" t="str">
        <f t="shared" si="1"/>
        <v>PR002-00033</v>
      </c>
    </row>
    <row r="60" spans="2:13" x14ac:dyDescent="0.35">
      <c r="B60" s="227" t="s">
        <v>706</v>
      </c>
      <c r="C60" s="303" t="s">
        <v>707</v>
      </c>
      <c r="D60" s="303" t="s">
        <v>179</v>
      </c>
      <c r="E60" s="303" t="s">
        <v>650</v>
      </c>
      <c r="F60" s="304">
        <v>62900020</v>
      </c>
      <c r="G60" s="303" t="str">
        <f>VLOOKUP(F60,'Master Data'!B:C,2,FALSE)</f>
        <v>Subscriptions and Periodicals</v>
      </c>
      <c r="H60" s="306"/>
      <c r="I60" s="224">
        <f>IFERROR(VLOOKUP(F60,'Master Data'!B:B,1,FALSE),0)</f>
        <v>62900020</v>
      </c>
      <c r="M60" s="223" t="str">
        <f t="shared" si="1"/>
        <v>PR002-00034</v>
      </c>
    </row>
    <row r="61" spans="2:13" x14ac:dyDescent="0.35">
      <c r="B61" s="227" t="s">
        <v>708</v>
      </c>
      <c r="C61" s="303" t="s">
        <v>631</v>
      </c>
      <c r="D61" s="303" t="s">
        <v>179</v>
      </c>
      <c r="E61" s="303" t="s">
        <v>650</v>
      </c>
      <c r="F61" s="304">
        <v>62900020</v>
      </c>
      <c r="G61" s="303" t="str">
        <f>VLOOKUP(F61,'Master Data'!B:C,2,FALSE)</f>
        <v>Subscriptions and Periodicals</v>
      </c>
      <c r="H61" s="306" t="s">
        <v>1276</v>
      </c>
      <c r="I61" s="224">
        <f>IFERROR(VLOOKUP(F61,'Master Data'!B:B,1,FALSE),0)</f>
        <v>62900020</v>
      </c>
      <c r="M61" s="223" t="str">
        <f t="shared" si="1"/>
        <v>PR002-00035</v>
      </c>
    </row>
    <row r="62" spans="2:13" ht="29" x14ac:dyDescent="0.35">
      <c r="B62" s="227" t="s">
        <v>709</v>
      </c>
      <c r="C62" s="303" t="s">
        <v>632</v>
      </c>
      <c r="D62" s="303" t="s">
        <v>179</v>
      </c>
      <c r="E62" s="303" t="s">
        <v>650</v>
      </c>
      <c r="F62" s="304">
        <v>62900020</v>
      </c>
      <c r="G62" s="303" t="str">
        <f>VLOOKUP(F62,'Master Data'!B:C,2,FALSE)</f>
        <v>Subscriptions and Periodicals</v>
      </c>
      <c r="H62" s="307" t="s">
        <v>1277</v>
      </c>
      <c r="I62" s="224">
        <f>IFERROR(VLOOKUP(F62,'Master Data'!B:B,1,FALSE),0)</f>
        <v>62900020</v>
      </c>
      <c r="M62" s="223" t="str">
        <f t="shared" si="1"/>
        <v>PR002-00036</v>
      </c>
    </row>
    <row r="63" spans="2:13" x14ac:dyDescent="0.35">
      <c r="B63" s="227" t="s">
        <v>712</v>
      </c>
      <c r="C63" s="303" t="s">
        <v>720</v>
      </c>
      <c r="D63" s="303" t="s">
        <v>150</v>
      </c>
      <c r="E63" s="303" t="s">
        <v>209</v>
      </c>
      <c r="F63" s="303">
        <v>62400030</v>
      </c>
      <c r="G63" s="303" t="str">
        <f>VLOOKUP(F63,'Master Data'!B:C,2,FALSE)</f>
        <v>Gen. Transp. Travelling Expenses</v>
      </c>
      <c r="H63" s="306" t="s">
        <v>713</v>
      </c>
      <c r="I63" s="224">
        <f>IFERROR(VLOOKUP(F63,'Master Data'!B:B,1,FALSE),0)</f>
        <v>62400030</v>
      </c>
      <c r="M63" s="223" t="str">
        <f t="shared" si="1"/>
        <v>IA001-00001</v>
      </c>
    </row>
    <row r="64" spans="2:13" x14ac:dyDescent="0.35">
      <c r="B64" s="227" t="s">
        <v>714</v>
      </c>
      <c r="C64" s="303" t="s">
        <v>710</v>
      </c>
      <c r="D64" s="303" t="s">
        <v>150</v>
      </c>
      <c r="E64" s="303" t="s">
        <v>209</v>
      </c>
      <c r="F64" s="304">
        <v>62900010</v>
      </c>
      <c r="G64" s="303" t="str">
        <f>VLOOKUP(F64,'Master Data'!B:C,2,FALSE)</f>
        <v>Association and Membership</v>
      </c>
      <c r="H64" s="306" t="s">
        <v>715</v>
      </c>
      <c r="I64" s="224">
        <f>IFERROR(VLOOKUP(F64,'Master Data'!B:B,1,FALSE),0)</f>
        <v>62900010</v>
      </c>
      <c r="M64" s="223" t="str">
        <f t="shared" si="1"/>
        <v>IA001-00002</v>
      </c>
    </row>
    <row r="65" spans="2:13" x14ac:dyDescent="0.35">
      <c r="B65" s="227" t="s">
        <v>716</v>
      </c>
      <c r="C65" s="303" t="s">
        <v>723</v>
      </c>
      <c r="D65" s="303" t="s">
        <v>150</v>
      </c>
      <c r="E65" s="303" t="s">
        <v>209</v>
      </c>
      <c r="F65" s="304">
        <v>62200020</v>
      </c>
      <c r="G65" s="303" t="str">
        <f>VLOOKUP(F65,'Master Data'!B:C,2,FALSE)</f>
        <v>Printing and Supplies Expenses</v>
      </c>
      <c r="H65" s="306" t="s">
        <v>717</v>
      </c>
      <c r="I65" s="224">
        <f>IFERROR(VLOOKUP(F65,'Master Data'!B:B,1,FALSE),0)</f>
        <v>62200020</v>
      </c>
      <c r="M65" s="223" t="str">
        <f t="shared" si="1"/>
        <v>IA001-00003</v>
      </c>
    </row>
    <row r="66" spans="2:13" x14ac:dyDescent="0.35">
      <c r="B66" s="227" t="s">
        <v>718</v>
      </c>
      <c r="C66" s="303" t="s">
        <v>711</v>
      </c>
      <c r="D66" s="303" t="s">
        <v>150</v>
      </c>
      <c r="E66" s="303" t="s">
        <v>209</v>
      </c>
      <c r="F66" s="304">
        <v>61900090</v>
      </c>
      <c r="G66" s="303" t="str">
        <f>VLOOKUP(F66,'Master Data'!B:C,2,FALSE)</f>
        <v>PF - Other Professional Fees</v>
      </c>
      <c r="H66" s="306" t="s">
        <v>1278</v>
      </c>
      <c r="I66" s="224">
        <f>IFERROR(VLOOKUP(F66,'Master Data'!B:B,1,FALSE),0)</f>
        <v>61900090</v>
      </c>
      <c r="M66" s="223" t="str">
        <f t="shared" si="1"/>
        <v>IA001-00005</v>
      </c>
    </row>
    <row r="67" spans="2:13" x14ac:dyDescent="0.35">
      <c r="B67" s="225" t="s">
        <v>1290</v>
      </c>
      <c r="C67" s="303" t="s">
        <v>1261</v>
      </c>
      <c r="D67" s="303" t="s">
        <v>580</v>
      </c>
      <c r="E67" s="303" t="s">
        <v>1291</v>
      </c>
      <c r="F67" s="316">
        <v>61900090</v>
      </c>
      <c r="G67" s="303" t="str">
        <f>VLOOKUP(F67,'Master Data'!B:C,2,FALSE)</f>
        <v>PF - Other Professional Fees</v>
      </c>
      <c r="H67" s="306" t="s">
        <v>1299</v>
      </c>
      <c r="I67" s="224"/>
      <c r="M67" s="223" t="str">
        <f t="shared" si="1"/>
        <v>MS010-00004</v>
      </c>
    </row>
    <row r="68" spans="2:13" x14ac:dyDescent="0.35">
      <c r="B68" s="225" t="s">
        <v>1292</v>
      </c>
      <c r="C68" s="303" t="s">
        <v>1293</v>
      </c>
      <c r="D68" s="303" t="s">
        <v>580</v>
      </c>
      <c r="E68" s="303" t="s">
        <v>1291</v>
      </c>
      <c r="F68" s="316">
        <v>61900090</v>
      </c>
      <c r="G68" s="303" t="str">
        <f>VLOOKUP(F68,'Master Data'!B:C,2,FALSE)</f>
        <v>PF - Other Professional Fees</v>
      </c>
      <c r="H68" s="306" t="s">
        <v>1300</v>
      </c>
      <c r="I68" s="224"/>
      <c r="M68" s="223" t="str">
        <f t="shared" si="1"/>
        <v>MS010-00006</v>
      </c>
    </row>
    <row r="69" spans="2:13" x14ac:dyDescent="0.35">
      <c r="B69" s="227"/>
      <c r="C69" s="303"/>
      <c r="D69" s="303"/>
      <c r="E69" s="303"/>
      <c r="F69" s="304"/>
      <c r="G69" s="305"/>
      <c r="H69" s="306"/>
      <c r="I69" s="224"/>
      <c r="M69" s="223">
        <f t="shared" si="1"/>
        <v>0</v>
      </c>
    </row>
    <row r="70" spans="2:13" x14ac:dyDescent="0.35">
      <c r="B70" s="227"/>
      <c r="C70" s="303"/>
      <c r="D70" s="303"/>
      <c r="E70" s="303"/>
      <c r="F70" s="304"/>
      <c r="G70" s="305"/>
      <c r="H70" s="306"/>
      <c r="I70" s="224"/>
      <c r="M70" s="223">
        <f t="shared" si="1"/>
        <v>0</v>
      </c>
    </row>
    <row r="71" spans="2:13" x14ac:dyDescent="0.35">
      <c r="B71" s="227"/>
      <c r="C71" s="303"/>
      <c r="D71" s="303"/>
      <c r="E71" s="303"/>
      <c r="F71" s="304"/>
      <c r="G71" s="305"/>
      <c r="H71" s="306"/>
      <c r="I71" s="224"/>
      <c r="M71" s="223">
        <f t="shared" si="1"/>
        <v>0</v>
      </c>
    </row>
    <row r="72" spans="2:13" x14ac:dyDescent="0.35">
      <c r="B72" s="227"/>
      <c r="C72" s="303"/>
      <c r="D72" s="303"/>
      <c r="E72" s="303"/>
      <c r="F72" s="304"/>
      <c r="G72" s="305"/>
      <c r="H72" s="306"/>
      <c r="I72" s="224"/>
      <c r="M72" s="223">
        <f t="shared" si="1"/>
        <v>0</v>
      </c>
    </row>
    <row r="73" spans="2:13" x14ac:dyDescent="0.35">
      <c r="B73" s="227"/>
      <c r="C73" s="303"/>
      <c r="D73" s="303"/>
      <c r="E73" s="303"/>
      <c r="F73" s="304"/>
      <c r="G73" s="305"/>
      <c r="H73" s="228"/>
      <c r="I73" s="224"/>
      <c r="M73" s="223">
        <f t="shared" si="1"/>
        <v>0</v>
      </c>
    </row>
    <row r="74" spans="2:13" ht="15" thickBot="1" x14ac:dyDescent="0.4">
      <c r="B74" s="229"/>
      <c r="C74" s="230"/>
      <c r="D74" s="230"/>
      <c r="E74" s="230"/>
      <c r="F74" s="230"/>
      <c r="G74" s="230"/>
      <c r="H74" s="231"/>
      <c r="I74" s="224"/>
      <c r="M74" s="223">
        <f t="shared" si="1"/>
        <v>0</v>
      </c>
    </row>
    <row r="75" spans="2:13" ht="15" thickBot="1" x14ac:dyDescent="0.4">
      <c r="B75" s="232"/>
      <c r="C75" s="232"/>
      <c r="D75" s="232"/>
      <c r="E75" s="232"/>
      <c r="F75" s="232"/>
      <c r="G75" s="232"/>
      <c r="H75" s="233"/>
      <c r="I75" s="224"/>
      <c r="M75" s="223">
        <f t="shared" si="1"/>
        <v>0</v>
      </c>
    </row>
    <row r="76" spans="2:13" ht="21" customHeight="1" x14ac:dyDescent="0.35">
      <c r="B76" s="349" t="s">
        <v>544</v>
      </c>
      <c r="C76" s="350"/>
      <c r="D76" s="350"/>
      <c r="E76" s="350"/>
      <c r="F76" s="350"/>
      <c r="G76" s="350"/>
      <c r="H76" s="351"/>
      <c r="I76" s="344" t="s">
        <v>328</v>
      </c>
      <c r="M76" s="223" t="str">
        <f t="shared" si="1"/>
        <v>Proposed New Activity 2026</v>
      </c>
    </row>
    <row r="77" spans="2:13" ht="15" thickBot="1" x14ac:dyDescent="0.4">
      <c r="B77" s="234" t="s">
        <v>326</v>
      </c>
      <c r="C77" s="235" t="s">
        <v>265</v>
      </c>
      <c r="D77" s="235" t="s">
        <v>32</v>
      </c>
      <c r="E77" s="235" t="s">
        <v>263</v>
      </c>
      <c r="F77" s="301" t="s">
        <v>264</v>
      </c>
      <c r="G77" s="236" t="s">
        <v>264</v>
      </c>
      <c r="H77" s="237" t="s">
        <v>227</v>
      </c>
      <c r="I77" s="345"/>
      <c r="M77" s="223" t="str">
        <f t="shared" si="1"/>
        <v>Master Activity Code</v>
      </c>
    </row>
    <row r="78" spans="2:13" x14ac:dyDescent="0.35">
      <c r="B78" s="238"/>
      <c r="C78" s="239"/>
      <c r="D78" s="240">
        <f>IFERROR(VLOOKUP(E78,'Master Data'!$E$59:$L$144,8,FALSE),0)</f>
        <v>0</v>
      </c>
      <c r="E78" s="241"/>
      <c r="F78" s="240">
        <f>IFERROR(VLOOKUP(G78,'Master Data'!$C$233:$H$331,6,FALSE),0)</f>
        <v>0</v>
      </c>
      <c r="G78" s="241"/>
      <c r="H78" s="242"/>
      <c r="I78" s="243" t="str">
        <f t="shared" ref="I78:I83" si="2">IF(B78="","",IF(AND(RIGHT(D78,5)=LEFT(B78,5),MID(B78,6,1)="-",COUNTIFS(B:B,"*"&amp;RIGHT(B78,5))=1),"Benar","Salah"))</f>
        <v/>
      </c>
      <c r="M78" s="223">
        <f t="shared" si="1"/>
        <v>0</v>
      </c>
    </row>
    <row r="79" spans="2:13" x14ac:dyDescent="0.35">
      <c r="B79" s="238"/>
      <c r="C79" s="124"/>
      <c r="D79" s="244">
        <f>IFERROR(VLOOKUP(E79,'Master Data'!$E$59:$L$144,8,FALSE),0)</f>
        <v>0</v>
      </c>
      <c r="F79" s="244">
        <f>IFERROR(VLOOKUP(G79,'Master Data'!$C$233:$H$331,6,FALSE),0)</f>
        <v>0</v>
      </c>
      <c r="H79" s="245"/>
      <c r="I79" s="243" t="str">
        <f t="shared" si="2"/>
        <v/>
      </c>
      <c r="M79" s="223">
        <f t="shared" si="1"/>
        <v>0</v>
      </c>
    </row>
    <row r="80" spans="2:13" x14ac:dyDescent="0.35">
      <c r="B80" s="238"/>
      <c r="C80" s="124"/>
      <c r="D80" s="244">
        <f>IFERROR(VLOOKUP(E80,'Master Data'!$E$59:$L$144,8,FALSE),0)</f>
        <v>0</v>
      </c>
      <c r="F80" s="244">
        <f>IFERROR(VLOOKUP(G80,'Master Data'!$C$233:$H$331,6,FALSE),0)</f>
        <v>0</v>
      </c>
      <c r="H80" s="245"/>
      <c r="I80" s="243" t="str">
        <f t="shared" si="2"/>
        <v/>
      </c>
      <c r="M80" s="223">
        <f t="shared" ref="M80:M101" si="3">B80</f>
        <v>0</v>
      </c>
    </row>
    <row r="81" spans="2:13" x14ac:dyDescent="0.35">
      <c r="B81" s="238"/>
      <c r="C81" s="124"/>
      <c r="D81" s="244">
        <f>IFERROR(VLOOKUP(E81,'Master Data'!$E$59:$L$144,8,FALSE),0)</f>
        <v>0</v>
      </c>
      <c r="F81" s="244">
        <f>IFERROR(VLOOKUP(G81,'Master Data'!$C$233:$H$331,6,FALSE),0)</f>
        <v>0</v>
      </c>
      <c r="H81" s="245"/>
      <c r="I81" s="243" t="str">
        <f t="shared" si="2"/>
        <v/>
      </c>
      <c r="M81" s="223">
        <f t="shared" si="3"/>
        <v>0</v>
      </c>
    </row>
    <row r="82" spans="2:13" x14ac:dyDescent="0.35">
      <c r="B82" s="238"/>
      <c r="C82" s="124"/>
      <c r="D82" s="244">
        <f>IFERROR(VLOOKUP(E82,'Master Data'!$E$59:$L$144,8,FALSE),0)</f>
        <v>0</v>
      </c>
      <c r="F82" s="244">
        <f>IFERROR(VLOOKUP(G82,'Master Data'!$C$233:$H$331,6,FALSE),0)</f>
        <v>0</v>
      </c>
      <c r="H82" s="245"/>
      <c r="I82" s="243" t="str">
        <f t="shared" si="2"/>
        <v/>
      </c>
      <c r="M82" s="223">
        <f t="shared" si="3"/>
        <v>0</v>
      </c>
    </row>
    <row r="83" spans="2:13" x14ac:dyDescent="0.35">
      <c r="B83" s="238"/>
      <c r="C83" s="124"/>
      <c r="D83" s="244">
        <f>IFERROR(VLOOKUP(E83,'Master Data'!$E$59:$L$144,8,FALSE),0)</f>
        <v>0</v>
      </c>
      <c r="F83" s="244">
        <f>IFERROR(VLOOKUP(G83,'Master Data'!$C$233:$H$331,6,FALSE),0)</f>
        <v>0</v>
      </c>
      <c r="H83" s="245"/>
      <c r="I83" s="243" t="str">
        <f t="shared" si="2"/>
        <v/>
      </c>
      <c r="M83" s="223">
        <f t="shared" si="3"/>
        <v>0</v>
      </c>
    </row>
    <row r="84" spans="2:13" x14ac:dyDescent="0.35">
      <c r="B84" s="238"/>
      <c r="C84" s="124"/>
      <c r="D84" s="244">
        <f>IFERROR(VLOOKUP(E84,'Master Data'!$E$59:$L$144,8,FALSE),0)</f>
        <v>0</v>
      </c>
      <c r="F84" s="244">
        <f>IFERROR(VLOOKUP(G84,'Master Data'!$C$233:$H$331,6,FALSE),0)</f>
        <v>0</v>
      </c>
      <c r="H84" s="245"/>
      <c r="I84" s="243"/>
      <c r="M84" s="223">
        <f t="shared" si="3"/>
        <v>0</v>
      </c>
    </row>
    <row r="85" spans="2:13" x14ac:dyDescent="0.35">
      <c r="B85" s="238"/>
      <c r="C85" s="124"/>
      <c r="D85" s="244">
        <f>IFERROR(VLOOKUP(E85,'Master Data'!$E$59:$L$144,8,FALSE),0)</f>
        <v>0</v>
      </c>
      <c r="F85" s="244">
        <f>IFERROR(VLOOKUP(G85,'Master Data'!$C$233:$H$331,6,FALSE),0)</f>
        <v>0</v>
      </c>
      <c r="H85" s="245"/>
      <c r="I85" s="243" t="str">
        <f>IF(B85="","",IF(AND(RIGHT(D85,5)=LEFT(B85,5),MID(B85,6,1)="-",COUNTIFS(B:B,"*"&amp;RIGHT(B85,5))=1),"Benar","Salah"))</f>
        <v/>
      </c>
      <c r="M85" s="223">
        <f t="shared" si="3"/>
        <v>0</v>
      </c>
    </row>
    <row r="86" spans="2:13" x14ac:dyDescent="0.35">
      <c r="B86" s="238"/>
      <c r="C86" s="124"/>
      <c r="D86" s="244">
        <f>IFERROR(VLOOKUP(E86,'Master Data'!$E$59:$L$144,8,FALSE),0)</f>
        <v>0</v>
      </c>
      <c r="F86" s="244">
        <f>IFERROR(VLOOKUP(G86,'Master Data'!$C$233:$H$331,6,FALSE),0)</f>
        <v>0</v>
      </c>
      <c r="H86" s="245"/>
      <c r="I86" s="243"/>
      <c r="M86" s="223">
        <f t="shared" si="3"/>
        <v>0</v>
      </c>
    </row>
    <row r="87" spans="2:13" ht="15" thickBot="1" x14ac:dyDescent="0.4">
      <c r="B87" s="246"/>
      <c r="C87" s="247"/>
      <c r="D87" s="248">
        <f>IFERROR(VLOOKUP(E87,'Master Data'!$E$59:$L$144,8,FALSE),0)</f>
        <v>0</v>
      </c>
      <c r="E87" s="232"/>
      <c r="F87" s="248">
        <f>IFERROR(VLOOKUP(G87,'Master Data'!$C$233:$H$331,6,FALSE),0)</f>
        <v>0</v>
      </c>
      <c r="G87" s="232"/>
      <c r="H87" s="249"/>
      <c r="I87" s="243" t="str">
        <f>IF(B87="","",IF(AND(RIGHT(D87,5)=LEFT(B87,5),MID(B87,6,1)="-",COUNTIFS(B:B,"*"&amp;RIGHT(B87,5))=1),"Benar","Salah"))</f>
        <v/>
      </c>
      <c r="M87" s="223">
        <f t="shared" si="3"/>
        <v>0</v>
      </c>
    </row>
    <row r="88" spans="2:13" x14ac:dyDescent="0.35">
      <c r="I88" s="215"/>
      <c r="M88" s="223">
        <f t="shared" si="3"/>
        <v>0</v>
      </c>
    </row>
    <row r="89" spans="2:13" ht="15" thickBot="1" x14ac:dyDescent="0.4">
      <c r="I89" s="215"/>
      <c r="M89" s="223">
        <f t="shared" si="3"/>
        <v>0</v>
      </c>
    </row>
    <row r="90" spans="2:13" x14ac:dyDescent="0.35">
      <c r="B90" s="349" t="s">
        <v>733</v>
      </c>
      <c r="C90" s="350"/>
      <c r="D90" s="350"/>
      <c r="E90" s="350"/>
      <c r="F90" s="350"/>
      <c r="G90" s="350"/>
      <c r="H90" s="351"/>
      <c r="I90" s="352"/>
      <c r="M90" s="223" t="str">
        <f t="shared" si="3"/>
        <v>Proposed Delete/close Activity 2026</v>
      </c>
    </row>
    <row r="91" spans="2:13" x14ac:dyDescent="0.35">
      <c r="B91" s="234" t="s">
        <v>326</v>
      </c>
      <c r="C91" s="235" t="s">
        <v>265</v>
      </c>
      <c r="D91" s="235" t="s">
        <v>32</v>
      </c>
      <c r="E91" s="235" t="s">
        <v>263</v>
      </c>
      <c r="F91" s="301" t="s">
        <v>264</v>
      </c>
      <c r="G91" s="250" t="s">
        <v>264</v>
      </c>
      <c r="H91" s="250" t="s">
        <v>227</v>
      </c>
      <c r="I91" s="352"/>
      <c r="M91" s="223" t="str">
        <f t="shared" si="3"/>
        <v>Master Activity Code</v>
      </c>
    </row>
    <row r="92" spans="2:13" x14ac:dyDescent="0.35">
      <c r="B92" s="238"/>
      <c r="C92" s="124"/>
      <c r="D92" s="240">
        <f>IFERROR(VLOOKUP(E92,'Master Data'!$E$59:$L$144,8,FALSE),0)</f>
        <v>0</v>
      </c>
      <c r="E92" s="241"/>
      <c r="F92" s="240">
        <f>IFERROR(VLOOKUP(G92,'Master Data'!$C$233:$H$331,6,FALSE),0)</f>
        <v>0</v>
      </c>
      <c r="G92" s="241"/>
      <c r="H92" s="245"/>
      <c r="I92" s="291"/>
      <c r="M92" s="223">
        <f t="shared" si="3"/>
        <v>0</v>
      </c>
    </row>
    <row r="93" spans="2:13" x14ac:dyDescent="0.35">
      <c r="B93" s="238"/>
      <c r="C93" s="124"/>
      <c r="D93" s="244">
        <f>IFERROR(VLOOKUP(E93,'Master Data'!$E$59:$L$144,8,FALSE),0)</f>
        <v>0</v>
      </c>
      <c r="F93" s="244">
        <f>IFERROR(VLOOKUP(G93,'Master Data'!$C$233:$H$331,6,FALSE),0)</f>
        <v>0</v>
      </c>
      <c r="H93" s="245"/>
      <c r="I93" s="291"/>
      <c r="M93" s="223">
        <f t="shared" si="3"/>
        <v>0</v>
      </c>
    </row>
    <row r="94" spans="2:13" x14ac:dyDescent="0.35">
      <c r="B94" s="238"/>
      <c r="C94" s="124"/>
      <c r="D94" s="244">
        <f>IFERROR(VLOOKUP(E94,'Master Data'!$E$59:$L$144,8,FALSE),0)</f>
        <v>0</v>
      </c>
      <c r="F94" s="244">
        <f>IFERROR(VLOOKUP(G94,'Master Data'!$C$233:$H$331,6,FALSE),0)</f>
        <v>0</v>
      </c>
      <c r="H94" s="245"/>
      <c r="I94" s="291"/>
      <c r="M94" s="223">
        <f t="shared" si="3"/>
        <v>0</v>
      </c>
    </row>
    <row r="95" spans="2:13" x14ac:dyDescent="0.35">
      <c r="B95" s="238"/>
      <c r="C95" s="124"/>
      <c r="D95" s="244">
        <f>IFERROR(VLOOKUP(E95,'Master Data'!$E$59:$L$144,8,FALSE),0)</f>
        <v>0</v>
      </c>
      <c r="F95" s="244">
        <f>IFERROR(VLOOKUP(G95,'Master Data'!$C$233:$H$331,6,FALSE),0)</f>
        <v>0</v>
      </c>
      <c r="H95" s="245"/>
      <c r="I95" s="291"/>
      <c r="M95" s="223">
        <f t="shared" si="3"/>
        <v>0</v>
      </c>
    </row>
    <row r="96" spans="2:13" x14ac:dyDescent="0.35">
      <c r="B96" s="238"/>
      <c r="C96" s="124"/>
      <c r="D96" s="244">
        <f>IFERROR(VLOOKUP(E96,'Master Data'!$E$59:$L$144,8,FALSE),0)</f>
        <v>0</v>
      </c>
      <c r="F96" s="244">
        <f>IFERROR(VLOOKUP(G96,'Master Data'!$C$233:$H$331,6,FALSE),0)</f>
        <v>0</v>
      </c>
      <c r="H96" s="245"/>
      <c r="I96" s="291"/>
      <c r="M96" s="223">
        <f t="shared" si="3"/>
        <v>0</v>
      </c>
    </row>
    <row r="97" spans="1:13" s="251" customFormat="1" x14ac:dyDescent="0.35">
      <c r="A97" s="85"/>
      <c r="B97" s="238"/>
      <c r="C97" s="124"/>
      <c r="D97" s="244">
        <f>IFERROR(VLOOKUP(E97,'Master Data'!$E$59:$L$144,8,FALSE),0)</f>
        <v>0</v>
      </c>
      <c r="E97" s="85"/>
      <c r="F97" s="244">
        <f>IFERROR(VLOOKUP(G97,'Master Data'!$C$233:$H$331,6,FALSE),0)</f>
        <v>0</v>
      </c>
      <c r="G97" s="85"/>
      <c r="H97" s="245"/>
      <c r="I97" s="291"/>
      <c r="M97" s="252">
        <f t="shared" si="3"/>
        <v>0</v>
      </c>
    </row>
    <row r="98" spans="1:13" ht="21" customHeight="1" x14ac:dyDescent="0.35">
      <c r="B98" s="238"/>
      <c r="C98" s="124"/>
      <c r="D98" s="244">
        <f>IFERROR(VLOOKUP(E98,'Master Data'!$E$59:$L$144,8,FALSE),0)</f>
        <v>0</v>
      </c>
      <c r="F98" s="244">
        <f>IFERROR(VLOOKUP(G98,'Master Data'!$C$233:$H$331,6,FALSE),0)</f>
        <v>0</v>
      </c>
      <c r="H98" s="245"/>
      <c r="I98" s="291"/>
      <c r="M98" s="223">
        <f t="shared" si="3"/>
        <v>0</v>
      </c>
    </row>
    <row r="99" spans="1:13" x14ac:dyDescent="0.35">
      <c r="B99" s="238"/>
      <c r="C99" s="124"/>
      <c r="D99" s="244">
        <f>IFERROR(VLOOKUP(E99,'Master Data'!$E$59:$L$144,8,FALSE),0)</f>
        <v>0</v>
      </c>
      <c r="F99" s="244">
        <f>IFERROR(VLOOKUP(G99,'Master Data'!$C$233:$H$331,6,FALSE),0)</f>
        <v>0</v>
      </c>
      <c r="H99" s="245"/>
      <c r="I99" s="291"/>
      <c r="M99" s="223">
        <f t="shared" si="3"/>
        <v>0</v>
      </c>
    </row>
    <row r="100" spans="1:13" x14ac:dyDescent="0.35">
      <c r="B100" s="238"/>
      <c r="C100" s="124"/>
      <c r="D100" s="244">
        <f>IFERROR(VLOOKUP(E100,'Master Data'!$E$59:$L$144,8,FALSE),0)</f>
        <v>0</v>
      </c>
      <c r="F100" s="244">
        <f>IFERROR(VLOOKUP(G100,'Master Data'!$C$233:$H$331,6,FALSE),0)</f>
        <v>0</v>
      </c>
      <c r="H100" s="245"/>
      <c r="I100" s="291"/>
      <c r="M100" s="223">
        <f t="shared" si="3"/>
        <v>0</v>
      </c>
    </row>
    <row r="101" spans="1:13" ht="15" thickBot="1" x14ac:dyDescent="0.4">
      <c r="B101" s="246"/>
      <c r="C101" s="247"/>
      <c r="D101" s="248">
        <f>IFERROR(VLOOKUP(E101,'Master Data'!$E$59:$L$144,8,FALSE),0)</f>
        <v>0</v>
      </c>
      <c r="E101" s="232"/>
      <c r="F101" s="248">
        <f>IFERROR(VLOOKUP(G101,'Master Data'!$C$233:$H$331,6,FALSE),0)</f>
        <v>0</v>
      </c>
      <c r="G101" s="232"/>
      <c r="H101" s="249"/>
      <c r="I101" s="291"/>
      <c r="M101" s="223">
        <f t="shared" si="3"/>
        <v>0</v>
      </c>
    </row>
  </sheetData>
  <sheetProtection autoFilter="0"/>
  <autoFilter ref="B3:G101" xr:uid="{00000000-0009-0000-0000-000004000000}"/>
  <sortState xmlns:xlrd2="http://schemas.microsoft.com/office/spreadsheetml/2017/richdata2" ref="B4:H21">
    <sortCondition ref="B4:B21"/>
  </sortState>
  <mergeCells count="5">
    <mergeCell ref="I76:I77"/>
    <mergeCell ref="B2:H2"/>
    <mergeCell ref="B76:H76"/>
    <mergeCell ref="B90:H90"/>
    <mergeCell ref="I90:I91"/>
  </mergeCells>
  <conditionalFormatting sqref="C4:C66">
    <cfRule type="duplicateValues" dxfId="2" priority="16"/>
  </conditionalFormatting>
  <pageMargins left="0.7" right="0.7" top="0.75" bottom="0.75" header="0.3" footer="0.3"/>
  <pageSetup orientation="portrait" r:id="rId1"/>
  <ignoredErrors>
    <ignoredError sqref="F16:F20" numberStoredAsText="1"/>
    <ignoredError sqref="D87:E87 D92:E92 D78:E78 D79:E79 D80:E86 F78:F87 D101:E101 D93:E100 F92:F101"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BEDED3EB-1460-4544-BA8C-643ECC1A38FA}">
          <x14:formula1>
            <xm:f>'Master Data'!$E$95:$E$98</xm:f>
          </x14:formula1>
          <xm:sqref>E78:E87 E92:E101</xm:sqref>
        </x14:dataValidation>
        <x14:dataValidation type="list" allowBlank="1" showInputMessage="1" showErrorMessage="1" xr:uid="{8A4A5D22-D54B-4F86-B20A-7E75B01C349F}">
          <x14:formula1>
            <xm:f>'Master Data'!$C$233:$C$331</xm:f>
          </x14:formula1>
          <xm:sqref>G78:G87 G92:G101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75F70-6030-46ED-A61C-8E9BB066ADA4}">
  <dimension ref="B2:P373"/>
  <sheetViews>
    <sheetView zoomScale="80" zoomScaleNormal="80" workbookViewId="0">
      <selection activeCell="E9" sqref="E9"/>
    </sheetView>
  </sheetViews>
  <sheetFormatPr defaultColWidth="9.1796875" defaultRowHeight="14.5" outlineLevelRow="1" x14ac:dyDescent="0.35"/>
  <cols>
    <col min="1" max="1" width="4.1796875" style="85" customWidth="1"/>
    <col min="2" max="2" width="26.54296875" style="85" bestFit="1" customWidth="1"/>
    <col min="3" max="3" width="30.81640625" style="85" bestFit="1" customWidth="1"/>
    <col min="4" max="4" width="39.54296875" style="85" customWidth="1"/>
    <col min="5" max="5" width="24.453125" style="85" bestFit="1" customWidth="1"/>
    <col min="6" max="6" width="30.26953125" style="85" bestFit="1" customWidth="1"/>
    <col min="7" max="7" width="3.453125" style="85" customWidth="1"/>
    <col min="8" max="8" width="20.453125" style="86" customWidth="1"/>
    <col min="9" max="9" width="27.54296875" style="86" customWidth="1"/>
    <col min="10" max="10" width="32.81640625" style="85" bestFit="1" customWidth="1"/>
    <col min="11" max="11" width="9.1796875" style="85"/>
    <col min="12" max="12" width="16.54296875" style="85" customWidth="1"/>
    <col min="13" max="14" width="9.1796875" style="85"/>
    <col min="15" max="15" width="30.81640625" style="85" bestFit="1" customWidth="1"/>
    <col min="16" max="16" width="25.81640625" style="85" bestFit="1" customWidth="1"/>
    <col min="17" max="16384" width="9.1796875" style="85"/>
  </cols>
  <sheetData>
    <row r="2" spans="2:9" s="82" customFormat="1" x14ac:dyDescent="0.35">
      <c r="B2" s="81" t="s">
        <v>127</v>
      </c>
      <c r="H2" s="83"/>
      <c r="I2" s="83"/>
    </row>
    <row r="4" spans="2:9" outlineLevel="1" x14ac:dyDescent="0.35">
      <c r="B4" s="84" t="s">
        <v>127</v>
      </c>
      <c r="C4" s="84" t="s">
        <v>138</v>
      </c>
    </row>
    <row r="5" spans="2:9" outlineLevel="1" x14ac:dyDescent="0.35">
      <c r="B5" s="87" t="s">
        <v>748</v>
      </c>
      <c r="C5" s="87" t="s">
        <v>410</v>
      </c>
    </row>
    <row r="6" spans="2:9" outlineLevel="1" x14ac:dyDescent="0.35">
      <c r="B6" s="87" t="s">
        <v>749</v>
      </c>
      <c r="C6" s="87" t="s">
        <v>412</v>
      </c>
    </row>
    <row r="7" spans="2:9" outlineLevel="1" x14ac:dyDescent="0.35">
      <c r="B7" s="87" t="s">
        <v>752</v>
      </c>
      <c r="C7" s="87" t="s">
        <v>577</v>
      </c>
    </row>
    <row r="8" spans="2:9" outlineLevel="1" x14ac:dyDescent="0.35">
      <c r="B8" s="87" t="s">
        <v>16</v>
      </c>
      <c r="C8" s="87" t="s">
        <v>16</v>
      </c>
    </row>
    <row r="9" spans="2:9" outlineLevel="1" x14ac:dyDescent="0.35">
      <c r="B9" s="87" t="s">
        <v>332</v>
      </c>
      <c r="C9" s="87" t="s">
        <v>332</v>
      </c>
    </row>
    <row r="10" spans="2:9" outlineLevel="1" x14ac:dyDescent="0.35">
      <c r="B10" s="87" t="s">
        <v>512</v>
      </c>
      <c r="C10" s="87" t="s">
        <v>512</v>
      </c>
    </row>
    <row r="11" spans="2:9" outlineLevel="1" x14ac:dyDescent="0.35">
      <c r="B11" s="87" t="s">
        <v>615</v>
      </c>
      <c r="C11" s="87" t="s">
        <v>615</v>
      </c>
    </row>
    <row r="12" spans="2:9" outlineLevel="1" x14ac:dyDescent="0.35">
      <c r="B12" s="87" t="s">
        <v>1256</v>
      </c>
      <c r="C12" s="87" t="s">
        <v>1256</v>
      </c>
    </row>
    <row r="13" spans="2:9" outlineLevel="1" x14ac:dyDescent="0.35">
      <c r="B13" s="87" t="s">
        <v>129</v>
      </c>
      <c r="C13" s="87" t="s">
        <v>23</v>
      </c>
    </row>
    <row r="14" spans="2:9" outlineLevel="1" x14ac:dyDescent="0.35">
      <c r="B14" s="87" t="s">
        <v>333</v>
      </c>
      <c r="C14" s="87" t="s">
        <v>188</v>
      </c>
    </row>
    <row r="15" spans="2:9" outlineLevel="1" x14ac:dyDescent="0.35">
      <c r="B15" s="87" t="s">
        <v>131</v>
      </c>
      <c r="C15" s="87" t="s">
        <v>137</v>
      </c>
    </row>
    <row r="16" spans="2:9" outlineLevel="1" x14ac:dyDescent="0.35">
      <c r="B16"/>
    </row>
    <row r="17" spans="2:9" s="82" customFormat="1" x14ac:dyDescent="0.35">
      <c r="B17" s="81" t="s">
        <v>226</v>
      </c>
      <c r="H17" s="83"/>
      <c r="I17" s="83"/>
    </row>
    <row r="18" spans="2:9" x14ac:dyDescent="0.35">
      <c r="B18"/>
    </row>
    <row r="19" spans="2:9" outlineLevel="1" x14ac:dyDescent="0.35">
      <c r="B19" s="18" t="s">
        <v>747</v>
      </c>
      <c r="C19" s="18" t="s">
        <v>226</v>
      </c>
    </row>
    <row r="20" spans="2:9" outlineLevel="1" x14ac:dyDescent="0.35">
      <c r="B20" s="19" t="s">
        <v>748</v>
      </c>
      <c r="C20" s="19" t="s">
        <v>409</v>
      </c>
    </row>
    <row r="21" spans="2:9" outlineLevel="1" x14ac:dyDescent="0.35">
      <c r="B21" s="19" t="s">
        <v>748</v>
      </c>
      <c r="C21" s="19" t="s">
        <v>405</v>
      </c>
    </row>
    <row r="22" spans="2:9" outlineLevel="1" x14ac:dyDescent="0.35">
      <c r="B22" s="19" t="s">
        <v>748</v>
      </c>
      <c r="C22" s="19" t="s">
        <v>406</v>
      </c>
    </row>
    <row r="23" spans="2:9" outlineLevel="1" x14ac:dyDescent="0.35">
      <c r="B23" s="19" t="s">
        <v>749</v>
      </c>
      <c r="C23" s="19" t="s">
        <v>750</v>
      </c>
    </row>
    <row r="24" spans="2:9" outlineLevel="1" x14ac:dyDescent="0.35">
      <c r="B24" s="19" t="s">
        <v>749</v>
      </c>
      <c r="C24" s="19" t="s">
        <v>751</v>
      </c>
    </row>
    <row r="25" spans="2:9" outlineLevel="1" x14ac:dyDescent="0.35">
      <c r="B25" s="19" t="s">
        <v>749</v>
      </c>
      <c r="C25" s="19" t="s">
        <v>385</v>
      </c>
    </row>
    <row r="26" spans="2:9" outlineLevel="1" x14ac:dyDescent="0.35">
      <c r="B26" s="19" t="s">
        <v>749</v>
      </c>
      <c r="C26" s="19" t="s">
        <v>446</v>
      </c>
    </row>
    <row r="27" spans="2:9" outlineLevel="1" x14ac:dyDescent="0.35">
      <c r="B27" s="19" t="s">
        <v>749</v>
      </c>
      <c r="C27" s="19" t="s">
        <v>411</v>
      </c>
    </row>
    <row r="28" spans="2:9" outlineLevel="1" x14ac:dyDescent="0.35">
      <c r="B28" s="14" t="s">
        <v>752</v>
      </c>
      <c r="C28" s="14" t="s">
        <v>22</v>
      </c>
    </row>
    <row r="29" spans="2:9" outlineLevel="1" x14ac:dyDescent="0.35">
      <c r="B29" s="14" t="s">
        <v>752</v>
      </c>
      <c r="C29" s="14" t="s">
        <v>21</v>
      </c>
    </row>
    <row r="30" spans="2:9" outlineLevel="1" x14ac:dyDescent="0.35">
      <c r="B30" s="14" t="s">
        <v>16</v>
      </c>
      <c r="C30" s="14" t="s">
        <v>180</v>
      </c>
    </row>
    <row r="31" spans="2:9" outlineLevel="1" x14ac:dyDescent="0.35">
      <c r="B31" s="14" t="str">
        <f>B30</f>
        <v>HSE</v>
      </c>
      <c r="C31" s="14" t="s">
        <v>181</v>
      </c>
    </row>
    <row r="32" spans="2:9" outlineLevel="1" x14ac:dyDescent="0.35">
      <c r="B32" s="14" t="s">
        <v>332</v>
      </c>
      <c r="C32" s="14" t="s">
        <v>128</v>
      </c>
    </row>
    <row r="33" spans="2:3" outlineLevel="1" x14ac:dyDescent="0.35">
      <c r="B33" s="14" t="s">
        <v>332</v>
      </c>
      <c r="C33" s="14" t="s">
        <v>24</v>
      </c>
    </row>
    <row r="34" spans="2:3" outlineLevel="1" x14ac:dyDescent="0.35">
      <c r="B34" s="14" t="s">
        <v>512</v>
      </c>
      <c r="C34" s="14" t="s">
        <v>135</v>
      </c>
    </row>
    <row r="35" spans="2:3" outlineLevel="1" x14ac:dyDescent="0.35">
      <c r="B35" s="14" t="s">
        <v>512</v>
      </c>
      <c r="C35" s="14" t="s">
        <v>17</v>
      </c>
    </row>
    <row r="36" spans="2:3" outlineLevel="1" x14ac:dyDescent="0.35">
      <c r="B36" s="14" t="s">
        <v>512</v>
      </c>
      <c r="C36" s="14" t="s">
        <v>14</v>
      </c>
    </row>
    <row r="37" spans="2:3" outlineLevel="1" x14ac:dyDescent="0.35">
      <c r="B37" s="14" t="s">
        <v>512</v>
      </c>
      <c r="C37" s="14" t="s">
        <v>15</v>
      </c>
    </row>
    <row r="38" spans="2:3" outlineLevel="1" x14ac:dyDescent="0.35">
      <c r="B38" s="14" t="s">
        <v>512</v>
      </c>
      <c r="C38" s="14" t="s">
        <v>616</v>
      </c>
    </row>
    <row r="39" spans="2:3" outlineLevel="1" x14ac:dyDescent="0.35">
      <c r="B39" s="14" t="s">
        <v>512</v>
      </c>
      <c r="C39" s="14" t="s">
        <v>1280</v>
      </c>
    </row>
    <row r="40" spans="2:3" outlineLevel="1" x14ac:dyDescent="0.35">
      <c r="B40" s="14" t="s">
        <v>615</v>
      </c>
      <c r="C40" s="14" t="s">
        <v>1225</v>
      </c>
    </row>
    <row r="41" spans="2:3" outlineLevel="1" x14ac:dyDescent="0.35">
      <c r="B41" s="14" t="s">
        <v>615</v>
      </c>
      <c r="C41" s="14" t="s">
        <v>1254</v>
      </c>
    </row>
    <row r="42" spans="2:3" outlineLevel="1" x14ac:dyDescent="0.35">
      <c r="B42" s="14" t="s">
        <v>615</v>
      </c>
      <c r="C42" s="14" t="s">
        <v>1255</v>
      </c>
    </row>
    <row r="43" spans="2:3" outlineLevel="1" x14ac:dyDescent="0.35">
      <c r="B43" s="14" t="s">
        <v>1256</v>
      </c>
      <c r="C43" s="14" t="s">
        <v>214</v>
      </c>
    </row>
    <row r="44" spans="2:3" outlineLevel="1" x14ac:dyDescent="0.35">
      <c r="B44" s="14" t="s">
        <v>1256</v>
      </c>
      <c r="C44" s="14" t="s">
        <v>335</v>
      </c>
    </row>
    <row r="45" spans="2:3" outlineLevel="1" x14ac:dyDescent="0.35">
      <c r="B45" s="14" t="s">
        <v>129</v>
      </c>
      <c r="C45" s="14" t="s">
        <v>1281</v>
      </c>
    </row>
    <row r="46" spans="2:3" outlineLevel="1" x14ac:dyDescent="0.35">
      <c r="B46" s="14" t="s">
        <v>129</v>
      </c>
      <c r="C46" s="14" t="s">
        <v>753</v>
      </c>
    </row>
    <row r="47" spans="2:3" outlineLevel="1" x14ac:dyDescent="0.35">
      <c r="B47" s="14" t="s">
        <v>129</v>
      </c>
      <c r="C47" s="14" t="s">
        <v>1282</v>
      </c>
    </row>
    <row r="48" spans="2:3" outlineLevel="1" x14ac:dyDescent="0.35">
      <c r="B48" s="14" t="s">
        <v>333</v>
      </c>
      <c r="C48" s="14" t="s">
        <v>1227</v>
      </c>
    </row>
    <row r="49" spans="2:16" outlineLevel="1" x14ac:dyDescent="0.35">
      <c r="B49" s="14" t="s">
        <v>333</v>
      </c>
      <c r="C49" s="14" t="s">
        <v>18</v>
      </c>
    </row>
    <row r="50" spans="2:16" outlineLevel="1" x14ac:dyDescent="0.35">
      <c r="B50" s="14" t="s">
        <v>333</v>
      </c>
      <c r="C50" s="14" t="s">
        <v>19</v>
      </c>
    </row>
    <row r="51" spans="2:16" outlineLevel="1" x14ac:dyDescent="0.35">
      <c r="B51" s="14" t="s">
        <v>333</v>
      </c>
      <c r="C51" s="14" t="s">
        <v>20</v>
      </c>
    </row>
    <row r="52" spans="2:16" outlineLevel="1" x14ac:dyDescent="0.35">
      <c r="B52" s="20" t="s">
        <v>131</v>
      </c>
      <c r="C52" s="14" t="s">
        <v>334</v>
      </c>
    </row>
    <row r="53" spans="2:16" outlineLevel="1" x14ac:dyDescent="0.35">
      <c r="B53" s="14" t="s">
        <v>131</v>
      </c>
      <c r="C53" s="14" t="s">
        <v>25</v>
      </c>
    </row>
    <row r="54" spans="2:16" outlineLevel="1" x14ac:dyDescent="0.35">
      <c r="B54" s="14" t="s">
        <v>131</v>
      </c>
      <c r="C54" s="14" t="s">
        <v>26</v>
      </c>
    </row>
    <row r="55" spans="2:16" outlineLevel="1" x14ac:dyDescent="0.35"/>
    <row r="56" spans="2:16" s="82" customFormat="1" x14ac:dyDescent="0.35">
      <c r="B56" s="81" t="s">
        <v>1212</v>
      </c>
      <c r="H56" s="88"/>
      <c r="I56" s="88"/>
    </row>
    <row r="58" spans="2:16" outlineLevel="1" x14ac:dyDescent="0.35">
      <c r="B58" s="84" t="s">
        <v>127</v>
      </c>
      <c r="C58" s="84" t="s">
        <v>226</v>
      </c>
      <c r="D58" s="84" t="s">
        <v>1213</v>
      </c>
      <c r="E58" s="84" t="s">
        <v>1214</v>
      </c>
      <c r="H58" s="84" t="s">
        <v>1215</v>
      </c>
      <c r="I58" s="84" t="s">
        <v>1216</v>
      </c>
      <c r="J58" s="84" t="s">
        <v>226</v>
      </c>
      <c r="L58" s="84" t="s">
        <v>1213</v>
      </c>
    </row>
    <row r="59" spans="2:16" outlineLevel="1" x14ac:dyDescent="0.35">
      <c r="B59" s="87" t="s">
        <v>575</v>
      </c>
      <c r="C59" s="87" t="s">
        <v>575</v>
      </c>
      <c r="D59" s="87" t="s">
        <v>350</v>
      </c>
      <c r="E59" s="87" t="s">
        <v>351</v>
      </c>
      <c r="H59" s="89" t="s">
        <v>575</v>
      </c>
      <c r="I59" s="89" t="str">
        <f>IF(MID(D59,6,2)="PP",_xlfn.CONCAT(H59,RIGHT(D59,2)),IF(MID(D59,6,2)="SU",RIGHT(D59,5),_xlfn.CONCAT(H59,"01",RIGHT(D59,1))))</f>
        <v>SMS01</v>
      </c>
      <c r="J59" s="87" t="str">
        <f>C59</f>
        <v>SMS</v>
      </c>
      <c r="L59" s="87" t="str">
        <f>D59</f>
        <v>10101PP001</v>
      </c>
      <c r="O59" s="85" t="s">
        <v>409</v>
      </c>
      <c r="P59" s="85" t="s">
        <v>373</v>
      </c>
    </row>
    <row r="60" spans="2:16" outlineLevel="1" x14ac:dyDescent="0.35">
      <c r="B60" s="87" t="s">
        <v>575</v>
      </c>
      <c r="C60" s="87" t="s">
        <v>575</v>
      </c>
      <c r="D60" s="87" t="s">
        <v>352</v>
      </c>
      <c r="E60" s="87" t="s">
        <v>353</v>
      </c>
      <c r="H60" s="89" t="s">
        <v>575</v>
      </c>
      <c r="I60" s="89" t="str">
        <f t="shared" ref="I60:I84" si="0">IF(MID(D60,6,2)="PP",_xlfn.CONCAT(H60,RIGHT(D60,2)),IF(MID(D60,6,2)="SU",RIGHT(D60,5),_xlfn.CONCAT(H60,"01",RIGHT(D60,1))))</f>
        <v>SMS02</v>
      </c>
      <c r="J60" s="87" t="str">
        <f t="shared" ref="J60:J123" si="1">C60</f>
        <v>SMS</v>
      </c>
      <c r="L60" s="87" t="str">
        <f t="shared" ref="L60:L123" si="2">D60</f>
        <v>10101PP002</v>
      </c>
      <c r="O60" s="85" t="s">
        <v>409</v>
      </c>
      <c r="P60" s="85" t="s">
        <v>375</v>
      </c>
    </row>
    <row r="61" spans="2:16" outlineLevel="1" x14ac:dyDescent="0.35">
      <c r="B61" s="87" t="s">
        <v>575</v>
      </c>
      <c r="C61" s="87" t="s">
        <v>575</v>
      </c>
      <c r="D61" s="87" t="s">
        <v>354</v>
      </c>
      <c r="E61" s="87" t="s">
        <v>355</v>
      </c>
      <c r="H61" s="89" t="s">
        <v>575</v>
      </c>
      <c r="I61" s="89" t="str">
        <f t="shared" si="0"/>
        <v>SMS03</v>
      </c>
      <c r="J61" s="87" t="str">
        <f t="shared" si="1"/>
        <v>SMS</v>
      </c>
      <c r="L61" s="87" t="str">
        <f t="shared" si="2"/>
        <v>10101PP003</v>
      </c>
      <c r="O61" s="85" t="s">
        <v>409</v>
      </c>
      <c r="P61" s="85" t="s">
        <v>377</v>
      </c>
    </row>
    <row r="62" spans="2:16" outlineLevel="1" x14ac:dyDescent="0.35">
      <c r="B62" s="87" t="s">
        <v>575</v>
      </c>
      <c r="C62" s="87" t="s">
        <v>575</v>
      </c>
      <c r="D62" s="87" t="s">
        <v>356</v>
      </c>
      <c r="E62" s="87" t="s">
        <v>357</v>
      </c>
      <c r="H62" s="89" t="s">
        <v>575</v>
      </c>
      <c r="I62" s="89" t="str">
        <f t="shared" si="0"/>
        <v>SMS04</v>
      </c>
      <c r="J62" s="87" t="str">
        <f t="shared" si="1"/>
        <v>SMS</v>
      </c>
      <c r="L62" s="87" t="str">
        <f t="shared" si="2"/>
        <v>10101PP004</v>
      </c>
      <c r="O62" s="85" t="s">
        <v>409</v>
      </c>
      <c r="P62" s="85" t="s">
        <v>383</v>
      </c>
    </row>
    <row r="63" spans="2:16" outlineLevel="1" x14ac:dyDescent="0.35">
      <c r="B63" s="87" t="s">
        <v>575</v>
      </c>
      <c r="C63" s="87" t="s">
        <v>575</v>
      </c>
      <c r="D63" s="87" t="s">
        <v>358</v>
      </c>
      <c r="E63" s="87" t="s">
        <v>359</v>
      </c>
      <c r="H63" s="89" t="s">
        <v>575</v>
      </c>
      <c r="I63" s="89" t="str">
        <f t="shared" si="0"/>
        <v>SMS05</v>
      </c>
      <c r="J63" s="87" t="str">
        <f t="shared" si="1"/>
        <v>SMS</v>
      </c>
      <c r="L63" s="87" t="str">
        <f t="shared" si="2"/>
        <v>10101PP005</v>
      </c>
      <c r="O63" s="85" t="s">
        <v>1217</v>
      </c>
      <c r="P63" s="85" t="s">
        <v>584</v>
      </c>
    </row>
    <row r="64" spans="2:16" outlineLevel="1" x14ac:dyDescent="0.35">
      <c r="B64" s="87" t="s">
        <v>575</v>
      </c>
      <c r="C64" s="87" t="s">
        <v>575</v>
      </c>
      <c r="D64" s="87" t="s">
        <v>360</v>
      </c>
      <c r="E64" s="87" t="s">
        <v>361</v>
      </c>
      <c r="H64" s="89" t="s">
        <v>575</v>
      </c>
      <c r="I64" s="89" t="str">
        <f t="shared" si="0"/>
        <v>SMS06</v>
      </c>
      <c r="J64" s="87" t="str">
        <f t="shared" si="1"/>
        <v>SMS</v>
      </c>
      <c r="L64" s="87" t="str">
        <f t="shared" si="2"/>
        <v>10101PP006</v>
      </c>
      <c r="O64" s="85" t="s">
        <v>1217</v>
      </c>
      <c r="P64" s="85" t="s">
        <v>605</v>
      </c>
    </row>
    <row r="65" spans="2:16" outlineLevel="1" x14ac:dyDescent="0.35">
      <c r="B65" s="87" t="s">
        <v>575</v>
      </c>
      <c r="C65" s="87" t="s">
        <v>575</v>
      </c>
      <c r="D65" s="87" t="s">
        <v>362</v>
      </c>
      <c r="E65" s="87" t="s">
        <v>363</v>
      </c>
      <c r="H65" s="89" t="s">
        <v>575</v>
      </c>
      <c r="I65" s="89" t="str">
        <f t="shared" si="0"/>
        <v>SMS07</v>
      </c>
      <c r="J65" s="87" t="str">
        <f t="shared" si="1"/>
        <v>SMS</v>
      </c>
      <c r="L65" s="87" t="str">
        <f t="shared" si="2"/>
        <v>10101PP007</v>
      </c>
      <c r="O65" s="85" t="s">
        <v>1217</v>
      </c>
      <c r="P65" s="85" t="s">
        <v>594</v>
      </c>
    </row>
    <row r="66" spans="2:16" outlineLevel="1" x14ac:dyDescent="0.35">
      <c r="B66" s="87" t="s">
        <v>1217</v>
      </c>
      <c r="C66" s="87" t="s">
        <v>1217</v>
      </c>
      <c r="D66" s="87" t="s">
        <v>364</v>
      </c>
      <c r="E66" s="87" t="s">
        <v>584</v>
      </c>
      <c r="H66" s="89" t="s">
        <v>575</v>
      </c>
      <c r="I66" s="89" t="str">
        <f>IF(MID(D66,6,2)="PP",_xlfn.CONCAT(H66,RIGHT(D66,2)),IF(MID(D66,6,2)="SU",RIGHT(D66,5),_xlfn.CONCAT(H66,"1",RIGHT(D66,1))))</f>
        <v>SMS11</v>
      </c>
      <c r="J66" s="87" t="str">
        <f t="shared" si="1"/>
        <v>ELECTRICAL</v>
      </c>
      <c r="L66" s="87" t="str">
        <f t="shared" si="2"/>
        <v>10101PS001</v>
      </c>
      <c r="O66" s="85" t="s">
        <v>1217</v>
      </c>
      <c r="P66" s="85" t="s">
        <v>601</v>
      </c>
    </row>
    <row r="67" spans="2:16" outlineLevel="1" x14ac:dyDescent="0.35">
      <c r="B67" s="87" t="s">
        <v>1218</v>
      </c>
      <c r="C67" s="87" t="s">
        <v>1218</v>
      </c>
      <c r="D67" s="87" t="s">
        <v>365</v>
      </c>
      <c r="E67" s="87" t="s">
        <v>585</v>
      </c>
      <c r="H67" s="89" t="s">
        <v>575</v>
      </c>
      <c r="I67" s="89" t="str">
        <f t="shared" ref="I67:I73" si="3">IF(MID(D67,6,2)="PP",_xlfn.CONCAT(H67,RIGHT(D67,2)),IF(MID(D67,6,2)="SU",RIGHT(D67,5),_xlfn.CONCAT(H67,"1",RIGHT(D67,1))))</f>
        <v>SMS12</v>
      </c>
      <c r="J67" s="87" t="str">
        <f t="shared" si="1"/>
        <v>MECHANICAL</v>
      </c>
      <c r="L67" s="87" t="str">
        <f t="shared" si="2"/>
        <v>10101PS002</v>
      </c>
      <c r="O67" s="85" t="s">
        <v>188</v>
      </c>
      <c r="P67" s="85" t="s">
        <v>187</v>
      </c>
    </row>
    <row r="68" spans="2:16" outlineLevel="1" x14ac:dyDescent="0.35">
      <c r="B68" s="87" t="s">
        <v>385</v>
      </c>
      <c r="C68" s="87" t="s">
        <v>385</v>
      </c>
      <c r="D68" s="87" t="s">
        <v>366</v>
      </c>
      <c r="E68" s="87" t="s">
        <v>586</v>
      </c>
      <c r="H68" s="89" t="s">
        <v>575</v>
      </c>
      <c r="I68" s="89" t="str">
        <f t="shared" si="3"/>
        <v>SMS13</v>
      </c>
      <c r="J68" s="87" t="str">
        <f t="shared" si="1"/>
        <v>PPIC</v>
      </c>
      <c r="L68" s="87" t="str">
        <f t="shared" si="2"/>
        <v>10101PS003</v>
      </c>
      <c r="O68" s="85" t="s">
        <v>188</v>
      </c>
      <c r="P68" s="85" t="s">
        <v>189</v>
      </c>
    </row>
    <row r="69" spans="2:16" outlineLevel="1" x14ac:dyDescent="0.35">
      <c r="B69" s="87" t="s">
        <v>446</v>
      </c>
      <c r="C69" s="87" t="s">
        <v>446</v>
      </c>
      <c r="D69" s="87" t="s">
        <v>367</v>
      </c>
      <c r="E69" s="87" t="s">
        <v>587</v>
      </c>
      <c r="H69" s="89" t="s">
        <v>575</v>
      </c>
      <c r="I69" s="89" t="str">
        <f t="shared" si="3"/>
        <v>SMS14</v>
      </c>
      <c r="J69" s="87" t="str">
        <f t="shared" si="1"/>
        <v>QAQC</v>
      </c>
      <c r="L69" s="87" t="str">
        <f t="shared" si="2"/>
        <v>10101PS004</v>
      </c>
      <c r="O69" s="85" t="s">
        <v>188</v>
      </c>
      <c r="P69" s="85" t="s">
        <v>190</v>
      </c>
    </row>
    <row r="70" spans="2:16" outlineLevel="1" x14ac:dyDescent="0.35">
      <c r="B70" s="87" t="s">
        <v>575</v>
      </c>
      <c r="C70" s="87" t="s">
        <v>575</v>
      </c>
      <c r="D70" s="87" t="s">
        <v>368</v>
      </c>
      <c r="E70" s="87" t="s">
        <v>588</v>
      </c>
      <c r="H70" s="89" t="s">
        <v>575</v>
      </c>
      <c r="I70" s="89" t="str">
        <f t="shared" si="3"/>
        <v>SMS15</v>
      </c>
      <c r="J70" s="87" t="str">
        <f t="shared" si="1"/>
        <v>SMS</v>
      </c>
      <c r="L70" s="87" t="str">
        <f t="shared" si="2"/>
        <v>10101PS005</v>
      </c>
      <c r="O70" s="85" t="s">
        <v>188</v>
      </c>
      <c r="P70" s="85" t="s">
        <v>191</v>
      </c>
    </row>
    <row r="71" spans="2:16" outlineLevel="1" x14ac:dyDescent="0.35">
      <c r="B71" s="87" t="s">
        <v>575</v>
      </c>
      <c r="C71" s="87" t="s">
        <v>575</v>
      </c>
      <c r="D71" s="87" t="s">
        <v>369</v>
      </c>
      <c r="E71" s="87" t="s">
        <v>589</v>
      </c>
      <c r="H71" s="89" t="s">
        <v>575</v>
      </c>
      <c r="I71" s="89" t="str">
        <f t="shared" si="3"/>
        <v>SMS16</v>
      </c>
      <c r="J71" s="87" t="str">
        <f t="shared" si="1"/>
        <v>SMS</v>
      </c>
      <c r="L71" s="87" t="str">
        <f t="shared" si="2"/>
        <v>10101PS006</v>
      </c>
      <c r="O71" s="85" t="s">
        <v>188</v>
      </c>
      <c r="P71" s="85" t="s">
        <v>193</v>
      </c>
    </row>
    <row r="72" spans="2:16" outlineLevel="1" x14ac:dyDescent="0.35">
      <c r="B72" s="87" t="s">
        <v>575</v>
      </c>
      <c r="C72" s="87" t="s">
        <v>575</v>
      </c>
      <c r="D72" s="87" t="s">
        <v>370</v>
      </c>
      <c r="E72" s="87" t="s">
        <v>590</v>
      </c>
      <c r="H72" s="89" t="s">
        <v>575</v>
      </c>
      <c r="I72" s="89" t="str">
        <f t="shared" si="3"/>
        <v>SMS17</v>
      </c>
      <c r="J72" s="87" t="str">
        <f t="shared" si="1"/>
        <v>SMS</v>
      </c>
      <c r="L72" s="87" t="str">
        <f t="shared" si="2"/>
        <v>10101PS007</v>
      </c>
      <c r="O72" s="85" t="s">
        <v>188</v>
      </c>
      <c r="P72" s="85" t="s">
        <v>194</v>
      </c>
    </row>
    <row r="73" spans="2:16" outlineLevel="1" x14ac:dyDescent="0.35">
      <c r="B73" s="87" t="s">
        <v>575</v>
      </c>
      <c r="C73" s="87" t="s">
        <v>575</v>
      </c>
      <c r="D73" s="87" t="s">
        <v>371</v>
      </c>
      <c r="E73" s="87" t="s">
        <v>591</v>
      </c>
      <c r="H73" s="89" t="s">
        <v>575</v>
      </c>
      <c r="I73" s="89" t="str">
        <f t="shared" si="3"/>
        <v>SMS18</v>
      </c>
      <c r="J73" s="87" t="str">
        <f t="shared" si="1"/>
        <v>SMS</v>
      </c>
      <c r="L73" s="87" t="str">
        <f t="shared" si="2"/>
        <v>10101PS008</v>
      </c>
      <c r="O73" s="85" t="s">
        <v>188</v>
      </c>
      <c r="P73" s="85" t="s">
        <v>503</v>
      </c>
    </row>
    <row r="74" spans="2:16" outlineLevel="1" x14ac:dyDescent="0.35">
      <c r="B74" s="87" t="s">
        <v>409</v>
      </c>
      <c r="C74" s="87" t="s">
        <v>409</v>
      </c>
      <c r="D74" s="87" t="s">
        <v>372</v>
      </c>
      <c r="E74" s="87" t="s">
        <v>373</v>
      </c>
      <c r="H74" s="89" t="s">
        <v>409</v>
      </c>
      <c r="I74" s="89" t="str">
        <f>IF(MID(D74,6,2)="PP",_xlfn.CONCAT(H74,RIGHT(D74,3)),IF(MID(D74,6,2)="SU",RIGHT(D74,5),_xlfn.CONCAT(H74,"01",RIGHT(D74,1))))</f>
        <v>BP001</v>
      </c>
      <c r="J74" s="87" t="str">
        <f t="shared" si="1"/>
        <v>BP</v>
      </c>
      <c r="L74" s="87" t="str">
        <f t="shared" si="2"/>
        <v>10103PP001</v>
      </c>
      <c r="O74" s="85" t="s">
        <v>577</v>
      </c>
      <c r="P74" s="85" t="s">
        <v>195</v>
      </c>
    </row>
    <row r="75" spans="2:16" outlineLevel="1" x14ac:dyDescent="0.35">
      <c r="B75" s="87" t="s">
        <v>409</v>
      </c>
      <c r="C75" s="87" t="s">
        <v>409</v>
      </c>
      <c r="D75" s="87" t="s">
        <v>374</v>
      </c>
      <c r="E75" s="87" t="s">
        <v>375</v>
      </c>
      <c r="H75" s="89" t="s">
        <v>409</v>
      </c>
      <c r="I75" s="89" t="str">
        <f t="shared" ref="I75:I76" si="4">IF(MID(D75,6,2)="PP",_xlfn.CONCAT(H75,RIGHT(D75,3)),IF(MID(D75,6,2)="SU",RIGHT(D75,5),_xlfn.CONCAT(H75,"01",RIGHT(D75,1))))</f>
        <v>BP009</v>
      </c>
      <c r="J75" s="87" t="str">
        <f t="shared" si="1"/>
        <v>BP</v>
      </c>
      <c r="L75" s="87" t="str">
        <f t="shared" si="2"/>
        <v>10103PP009</v>
      </c>
      <c r="O75" s="85" t="s">
        <v>577</v>
      </c>
      <c r="P75" s="85" t="s">
        <v>196</v>
      </c>
    </row>
    <row r="76" spans="2:16" outlineLevel="1" x14ac:dyDescent="0.35">
      <c r="B76" s="87" t="s">
        <v>409</v>
      </c>
      <c r="C76" s="87" t="s">
        <v>409</v>
      </c>
      <c r="D76" s="87" t="s">
        <v>376</v>
      </c>
      <c r="E76" s="87" t="s">
        <v>377</v>
      </c>
      <c r="H76" s="89" t="s">
        <v>409</v>
      </c>
      <c r="I76" s="89" t="str">
        <f t="shared" si="4"/>
        <v>BP010</v>
      </c>
      <c r="J76" s="87" t="str">
        <f t="shared" si="1"/>
        <v>BP</v>
      </c>
      <c r="L76" s="87" t="str">
        <f t="shared" si="2"/>
        <v>10103PP010</v>
      </c>
      <c r="O76" s="85" t="s">
        <v>577</v>
      </c>
      <c r="P76" s="85" t="s">
        <v>197</v>
      </c>
    </row>
    <row r="77" spans="2:16" outlineLevel="1" x14ac:dyDescent="0.35">
      <c r="B77" s="87" t="s">
        <v>1217</v>
      </c>
      <c r="C77" s="87" t="s">
        <v>1217</v>
      </c>
      <c r="D77" s="87" t="s">
        <v>378</v>
      </c>
      <c r="E77" s="87" t="s">
        <v>605</v>
      </c>
      <c r="H77" s="89" t="s">
        <v>409</v>
      </c>
      <c r="I77" s="89" t="str">
        <f>IF(MID(D77,6,2)="PP",_xlfn.CONCAT(H77,RIGHT(D77,2)),IF(MID(D77,6,2)="SU",RIGHT(D77,5),_xlfn.CONCAT(H77,"01",RIGHT(D77,1))))</f>
        <v>BP011</v>
      </c>
      <c r="J77" s="87" t="str">
        <f t="shared" si="1"/>
        <v>ELECTRICAL</v>
      </c>
      <c r="L77" s="87" t="str">
        <f t="shared" si="2"/>
        <v>10103PS001</v>
      </c>
      <c r="O77" s="85" t="s">
        <v>577</v>
      </c>
      <c r="P77" s="85" t="s">
        <v>198</v>
      </c>
    </row>
    <row r="78" spans="2:16" outlineLevel="1" x14ac:dyDescent="0.35">
      <c r="B78" s="87" t="s">
        <v>1218</v>
      </c>
      <c r="C78" s="87" t="s">
        <v>1218</v>
      </c>
      <c r="D78" s="87" t="s">
        <v>379</v>
      </c>
      <c r="E78" s="87" t="s">
        <v>606</v>
      </c>
      <c r="H78" s="89" t="s">
        <v>409</v>
      </c>
      <c r="I78" s="89" t="str">
        <f t="shared" si="0"/>
        <v>BP012</v>
      </c>
      <c r="J78" s="87" t="str">
        <f t="shared" si="1"/>
        <v>MECHANICAL</v>
      </c>
      <c r="L78" s="87" t="str">
        <f t="shared" si="2"/>
        <v>10103PS002</v>
      </c>
      <c r="O78" s="85" t="s">
        <v>577</v>
      </c>
      <c r="P78" s="85" t="s">
        <v>199</v>
      </c>
    </row>
    <row r="79" spans="2:16" outlineLevel="1" x14ac:dyDescent="0.35">
      <c r="B79" s="87" t="s">
        <v>385</v>
      </c>
      <c r="C79" s="87" t="s">
        <v>385</v>
      </c>
      <c r="D79" s="87" t="s">
        <v>380</v>
      </c>
      <c r="E79" s="87" t="s">
        <v>607</v>
      </c>
      <c r="H79" s="89" t="s">
        <v>409</v>
      </c>
      <c r="I79" s="89" t="str">
        <f t="shared" si="0"/>
        <v>BP013</v>
      </c>
      <c r="J79" s="87" t="str">
        <f t="shared" si="1"/>
        <v>PPIC</v>
      </c>
      <c r="L79" s="87" t="str">
        <f t="shared" si="2"/>
        <v>10103PS003</v>
      </c>
      <c r="O79" s="85" t="s">
        <v>577</v>
      </c>
      <c r="P79" s="85" t="s">
        <v>200</v>
      </c>
    </row>
    <row r="80" spans="2:16" outlineLevel="1" x14ac:dyDescent="0.35">
      <c r="B80" s="87" t="s">
        <v>446</v>
      </c>
      <c r="C80" s="87" t="s">
        <v>446</v>
      </c>
      <c r="D80" s="87" t="s">
        <v>381</v>
      </c>
      <c r="E80" s="87" t="s">
        <v>608</v>
      </c>
      <c r="H80" s="89" t="s">
        <v>409</v>
      </c>
      <c r="I80" s="89" t="str">
        <f t="shared" si="0"/>
        <v>BP014</v>
      </c>
      <c r="J80" s="87" t="str">
        <f t="shared" si="1"/>
        <v>QAQC</v>
      </c>
      <c r="L80" s="87" t="str">
        <f t="shared" si="2"/>
        <v>10103PS004</v>
      </c>
      <c r="O80" s="85" t="s">
        <v>577</v>
      </c>
      <c r="P80" s="85" t="s">
        <v>201</v>
      </c>
    </row>
    <row r="81" spans="2:16" outlineLevel="1" x14ac:dyDescent="0.35">
      <c r="B81" s="87" t="s">
        <v>409</v>
      </c>
      <c r="C81" s="87" t="s">
        <v>409</v>
      </c>
      <c r="D81" s="87" t="s">
        <v>382</v>
      </c>
      <c r="E81" s="87" t="s">
        <v>383</v>
      </c>
      <c r="H81" s="89" t="s">
        <v>409</v>
      </c>
      <c r="I81" s="89" t="str">
        <f t="shared" si="0"/>
        <v>BP016</v>
      </c>
      <c r="J81" s="87" t="str">
        <f t="shared" si="1"/>
        <v>BP</v>
      </c>
      <c r="L81" s="87" t="str">
        <f t="shared" si="2"/>
        <v>10103PS006</v>
      </c>
      <c r="O81" s="85" t="s">
        <v>577</v>
      </c>
      <c r="P81" s="85" t="s">
        <v>202</v>
      </c>
    </row>
    <row r="82" spans="2:16" outlineLevel="1" x14ac:dyDescent="0.35">
      <c r="B82" s="87" t="s">
        <v>136</v>
      </c>
      <c r="C82" s="87" t="s">
        <v>405</v>
      </c>
      <c r="D82" s="87" t="s">
        <v>342</v>
      </c>
      <c r="E82" s="87" t="s">
        <v>592</v>
      </c>
      <c r="H82" s="89" t="s">
        <v>405</v>
      </c>
      <c r="I82" s="89" t="str">
        <f t="shared" si="0"/>
        <v>LSM01</v>
      </c>
      <c r="J82" s="87" t="str">
        <f t="shared" si="1"/>
        <v>LSM</v>
      </c>
      <c r="L82" s="87" t="str">
        <f t="shared" si="2"/>
        <v>10131PP001</v>
      </c>
      <c r="O82" s="85" t="s">
        <v>577</v>
      </c>
      <c r="P82" s="85" t="s">
        <v>203</v>
      </c>
    </row>
    <row r="83" spans="2:16" outlineLevel="1" x14ac:dyDescent="0.35">
      <c r="B83" s="87" t="s">
        <v>405</v>
      </c>
      <c r="C83" s="87" t="s">
        <v>405</v>
      </c>
      <c r="D83" s="87" t="s">
        <v>343</v>
      </c>
      <c r="E83" s="87" t="s">
        <v>593</v>
      </c>
      <c r="H83" s="89" t="s">
        <v>405</v>
      </c>
      <c r="I83" s="89" t="str">
        <f t="shared" si="0"/>
        <v>LSM09</v>
      </c>
      <c r="J83" s="87" t="str">
        <f t="shared" si="1"/>
        <v>LSM</v>
      </c>
      <c r="L83" s="87" t="str">
        <f t="shared" si="2"/>
        <v>10131PP009</v>
      </c>
      <c r="O83" s="85" t="s">
        <v>577</v>
      </c>
      <c r="P83" s="85" t="s">
        <v>204</v>
      </c>
    </row>
    <row r="84" spans="2:16" outlineLevel="1" x14ac:dyDescent="0.35">
      <c r="B84" s="261" t="s">
        <v>405</v>
      </c>
      <c r="C84" s="261" t="s">
        <v>405</v>
      </c>
      <c r="D84" s="261" t="s">
        <v>344</v>
      </c>
      <c r="E84" s="261" t="s">
        <v>1252</v>
      </c>
      <c r="F84" s="85" t="s">
        <v>1257</v>
      </c>
      <c r="H84" s="89" t="s">
        <v>405</v>
      </c>
      <c r="I84" s="89" t="str">
        <f t="shared" si="0"/>
        <v>LSM10</v>
      </c>
      <c r="J84" s="87" t="str">
        <f t="shared" si="1"/>
        <v>LSM</v>
      </c>
      <c r="L84" s="87" t="str">
        <f t="shared" si="2"/>
        <v>10131PP010</v>
      </c>
      <c r="O84" s="85" t="s">
        <v>577</v>
      </c>
      <c r="P84" s="85" t="s">
        <v>205</v>
      </c>
    </row>
    <row r="85" spans="2:16" outlineLevel="1" x14ac:dyDescent="0.35">
      <c r="B85" s="87" t="s">
        <v>1217</v>
      </c>
      <c r="C85" s="87" t="s">
        <v>1217</v>
      </c>
      <c r="D85" s="87" t="s">
        <v>345</v>
      </c>
      <c r="E85" s="87" t="s">
        <v>594</v>
      </c>
      <c r="H85" s="89" t="s">
        <v>405</v>
      </c>
      <c r="I85" s="89" t="str">
        <f>IF(MID(D85,6,2)="PP",_xlfn.CONCAT(H85,RIGHT(D85,2)),IF(MID(D85,6,2)="SU",RIGHT(D85,5),_xlfn.CONCAT(H85,"1",RIGHT(D85,1))))</f>
        <v>LSM11</v>
      </c>
      <c r="J85" s="87" t="str">
        <f t="shared" si="1"/>
        <v>ELECTRICAL</v>
      </c>
      <c r="L85" s="87" t="str">
        <f t="shared" si="2"/>
        <v>10131PS001</v>
      </c>
      <c r="O85" s="85" t="s">
        <v>577</v>
      </c>
      <c r="P85" s="85" t="s">
        <v>206</v>
      </c>
    </row>
    <row r="86" spans="2:16" outlineLevel="1" x14ac:dyDescent="0.35">
      <c r="B86" s="87" t="s">
        <v>1218</v>
      </c>
      <c r="C86" s="87" t="s">
        <v>1218</v>
      </c>
      <c r="D86" s="87" t="s">
        <v>346</v>
      </c>
      <c r="E86" s="87" t="s">
        <v>595</v>
      </c>
      <c r="H86" s="89" t="s">
        <v>405</v>
      </c>
      <c r="I86" s="89" t="str">
        <f>IF(MID(D86,6,2)="PP",_xlfn.CONCAT(H86,RIGHT(D86,2)),IF(MID(D86,6,2)="SU",RIGHT(D86,5),_xlfn.CONCAT(H86,"1",RIGHT(D86,1))))</f>
        <v>LSM12</v>
      </c>
      <c r="J86" s="87" t="str">
        <f t="shared" si="1"/>
        <v>MECHANICAL</v>
      </c>
      <c r="L86" s="87" t="str">
        <f t="shared" si="2"/>
        <v>10131PS002</v>
      </c>
      <c r="O86" s="85" t="s">
        <v>577</v>
      </c>
      <c r="P86" s="85" t="s">
        <v>212</v>
      </c>
    </row>
    <row r="87" spans="2:16" outlineLevel="1" x14ac:dyDescent="0.35">
      <c r="B87" s="87" t="s">
        <v>385</v>
      </c>
      <c r="C87" s="87" t="s">
        <v>385</v>
      </c>
      <c r="D87" s="87" t="s">
        <v>347</v>
      </c>
      <c r="E87" s="87" t="s">
        <v>596</v>
      </c>
      <c r="H87" s="89" t="s">
        <v>405</v>
      </c>
      <c r="I87" s="89" t="str">
        <f>IF(MID(D87,6,2)="PP",_xlfn.CONCAT(H87,RIGHT(D87,2)),IF(MID(D87,6,2)="SU",RIGHT(D87,5),_xlfn.CONCAT(H87,"1",RIGHT(D87,1))))</f>
        <v>LSM13</v>
      </c>
      <c r="J87" s="87" t="str">
        <f t="shared" si="1"/>
        <v>PPIC</v>
      </c>
      <c r="L87" s="87" t="str">
        <f t="shared" si="2"/>
        <v>10131PS003</v>
      </c>
      <c r="O87" s="85" t="s">
        <v>16</v>
      </c>
      <c r="P87" s="85" t="s">
        <v>207</v>
      </c>
    </row>
    <row r="88" spans="2:16" outlineLevel="1" x14ac:dyDescent="0.35">
      <c r="B88" s="87" t="s">
        <v>446</v>
      </c>
      <c r="C88" s="87" t="s">
        <v>446</v>
      </c>
      <c r="D88" s="87" t="s">
        <v>348</v>
      </c>
      <c r="E88" s="87" t="s">
        <v>597</v>
      </c>
      <c r="H88" s="89" t="s">
        <v>405</v>
      </c>
      <c r="I88" s="89" t="str">
        <f>IF(MID(D88,6,2)="PP",_xlfn.CONCAT(H88,RIGHT(D88,2)),IF(MID(D88,6,2)="SU",RIGHT(D88,5),_xlfn.CONCAT(H88,"1",RIGHT(D88,1))))</f>
        <v>LSM14</v>
      </c>
      <c r="J88" s="87" t="str">
        <f t="shared" si="1"/>
        <v>QAQC</v>
      </c>
      <c r="L88" s="87" t="str">
        <f t="shared" si="2"/>
        <v>10131PS004</v>
      </c>
      <c r="O88" s="85" t="s">
        <v>16</v>
      </c>
      <c r="P88" s="85" t="s">
        <v>208</v>
      </c>
    </row>
    <row r="89" spans="2:16" outlineLevel="1" x14ac:dyDescent="0.35">
      <c r="B89" s="87" t="s">
        <v>405</v>
      </c>
      <c r="C89" s="87" t="s">
        <v>405</v>
      </c>
      <c r="D89" s="87" t="s">
        <v>349</v>
      </c>
      <c r="E89" s="87" t="s">
        <v>598</v>
      </c>
      <c r="H89" s="89" t="s">
        <v>405</v>
      </c>
      <c r="I89" s="89" t="str">
        <f>IF(MID(D89,6,2)="PP",_xlfn.CONCAT(H89,RIGHT(D89,2)),IF(MID(D89,6,2)="SU",RIGHT(D89,5),_xlfn.CONCAT(H89,"1",RIGHT(D89,1))))</f>
        <v>LSM16</v>
      </c>
      <c r="J89" s="87" t="str">
        <f t="shared" si="1"/>
        <v>LSM</v>
      </c>
      <c r="L89" s="87" t="str">
        <f t="shared" si="2"/>
        <v>10131PS006</v>
      </c>
      <c r="O89" s="85" t="s">
        <v>23</v>
      </c>
      <c r="P89" s="85" t="s">
        <v>210</v>
      </c>
    </row>
    <row r="90" spans="2:16" outlineLevel="1" x14ac:dyDescent="0.35">
      <c r="B90" s="87" t="s">
        <v>411</v>
      </c>
      <c r="C90" s="87" t="s">
        <v>411</v>
      </c>
      <c r="D90" s="87" t="s">
        <v>1219</v>
      </c>
      <c r="E90" s="87" t="s">
        <v>411</v>
      </c>
      <c r="H90" s="89" t="s">
        <v>411</v>
      </c>
      <c r="I90" s="89" t="str">
        <f>IF(MID(D90,6,2)="PP",_xlfn.CONCAT(H90,RIGHT(D90,2)),IF(MID(D90,6,2)="SU",RIGHT(D90,5),_xlfn.CONCAT(H90,"01",RIGHT(D90,1))))</f>
        <v>SU001</v>
      </c>
      <c r="J90" s="87" t="str">
        <f t="shared" si="1"/>
        <v>SSC</v>
      </c>
      <c r="L90" s="87" t="str">
        <f t="shared" si="2"/>
        <v>10202SU001</v>
      </c>
      <c r="O90" s="85" t="s">
        <v>23</v>
      </c>
      <c r="P90" s="85" t="s">
        <v>497</v>
      </c>
    </row>
    <row r="91" spans="2:16" outlineLevel="1" x14ac:dyDescent="0.35">
      <c r="B91" s="87" t="s">
        <v>385</v>
      </c>
      <c r="C91" s="87" t="s">
        <v>385</v>
      </c>
      <c r="D91" s="87" t="s">
        <v>386</v>
      </c>
      <c r="E91" s="87" t="s">
        <v>599</v>
      </c>
      <c r="H91" s="89" t="s">
        <v>385</v>
      </c>
      <c r="I91" s="89" t="str">
        <f>IF(MID(D91,6,2)="PP",_xlfn.CONCAT(H91,RIGHT(D91,2)),IF(MID(D91,6,2)="SU",RIGHT(D91,5),_xlfn.CONCAT(H91,"01",RIGHT(D91,1))))</f>
        <v>SU006</v>
      </c>
      <c r="J91" s="87" t="str">
        <f t="shared" si="1"/>
        <v>PPIC</v>
      </c>
      <c r="L91" s="87" t="str">
        <f t="shared" si="2"/>
        <v>10202SU006</v>
      </c>
      <c r="O91" s="85" t="s">
        <v>23</v>
      </c>
      <c r="P91" s="85" t="s">
        <v>1295</v>
      </c>
    </row>
    <row r="92" spans="2:16" outlineLevel="1" x14ac:dyDescent="0.35">
      <c r="B92" s="87" t="s">
        <v>446</v>
      </c>
      <c r="C92" s="87" t="s">
        <v>446</v>
      </c>
      <c r="D92" s="87" t="s">
        <v>387</v>
      </c>
      <c r="E92" s="87" t="s">
        <v>600</v>
      </c>
      <c r="H92" s="89" t="s">
        <v>446</v>
      </c>
      <c r="I92" s="89" t="str">
        <f>IF(MID(D92,6,2)="PP",_xlfn.CONCAT(H92,RIGHT(D92,2)),IF(MID(D92,6,2)="SU",RIGHT(D92,5),_xlfn.CONCAT(H92,"01",RIGHT(D92,1))))</f>
        <v>SU007</v>
      </c>
      <c r="J92" s="87" t="str">
        <f t="shared" si="1"/>
        <v>QAQC</v>
      </c>
      <c r="L92" s="87" t="str">
        <f t="shared" si="2"/>
        <v>10202SU007</v>
      </c>
      <c r="O92" s="85" t="s">
        <v>23</v>
      </c>
      <c r="P92" s="85" t="s">
        <v>504</v>
      </c>
    </row>
    <row r="93" spans="2:16" outlineLevel="1" x14ac:dyDescent="0.35">
      <c r="B93" s="87" t="s">
        <v>1217</v>
      </c>
      <c r="C93" s="87" t="s">
        <v>1217</v>
      </c>
      <c r="D93" s="87" t="s">
        <v>602</v>
      </c>
      <c r="E93" s="87" t="s">
        <v>601</v>
      </c>
      <c r="H93" s="89" t="s">
        <v>384</v>
      </c>
      <c r="I93" s="89" t="str">
        <f>IF(MID(D93,6,2)="PP",_xlfn.CONCAT(H93,RIGHT(D93,2)),IF(MID(D93,6,2)="SU",RIGHT(D93,5),_xlfn.CONCAT(H93,"01",RIGHT(D93,1))))</f>
        <v>SU009</v>
      </c>
      <c r="J93" s="87" t="str">
        <f t="shared" si="1"/>
        <v>ELECTRICAL</v>
      </c>
      <c r="L93" s="87" t="str">
        <f t="shared" si="2"/>
        <v>10202SU009</v>
      </c>
      <c r="O93" s="85" t="s">
        <v>136</v>
      </c>
      <c r="P93" s="85" t="s">
        <v>592</v>
      </c>
    </row>
    <row r="94" spans="2:16" outlineLevel="1" x14ac:dyDescent="0.35">
      <c r="B94" s="87" t="s">
        <v>576</v>
      </c>
      <c r="C94" s="87" t="s">
        <v>576</v>
      </c>
      <c r="D94" s="87" t="s">
        <v>604</v>
      </c>
      <c r="E94" s="87" t="s">
        <v>603</v>
      </c>
      <c r="H94" s="89" t="s">
        <v>576</v>
      </c>
      <c r="I94" s="89" t="str">
        <f>IF(MID(D94,6,2)="PP",_xlfn.CONCAT(H94,RIGHT(D94,2)),IF(MID(D94,6,2)="SU",RIGHT(D94,5),_xlfn.CONCAT(H94,"01",RIGHT(D94,1))))</f>
        <v>SU017</v>
      </c>
      <c r="J94" s="87" t="str">
        <f t="shared" si="1"/>
        <v>MSN</v>
      </c>
      <c r="L94" s="87" t="str">
        <f t="shared" si="2"/>
        <v>10202SU017</v>
      </c>
      <c r="O94" s="85" t="s">
        <v>1222</v>
      </c>
      <c r="P94" s="85" t="s">
        <v>184</v>
      </c>
    </row>
    <row r="95" spans="2:16" outlineLevel="1" x14ac:dyDescent="0.35">
      <c r="B95" s="87" t="s">
        <v>1220</v>
      </c>
      <c r="C95" s="87" t="s">
        <v>447</v>
      </c>
      <c r="D95" s="87" t="s">
        <v>144</v>
      </c>
      <c r="E95" s="87" t="s">
        <v>183</v>
      </c>
      <c r="H95" s="89" t="s">
        <v>1221</v>
      </c>
      <c r="I95" s="89" t="str">
        <f>RIGHT(D95,5)</f>
        <v>BD001</v>
      </c>
      <c r="J95" s="87" t="str">
        <f t="shared" si="1"/>
        <v>Board of Directors</v>
      </c>
      <c r="L95" s="87" t="str">
        <f t="shared" si="2"/>
        <v>10301BD001</v>
      </c>
      <c r="O95" s="85" t="s">
        <v>1222</v>
      </c>
      <c r="P95" s="85" t="s">
        <v>186</v>
      </c>
    </row>
    <row r="96" spans="2:16" outlineLevel="1" x14ac:dyDescent="0.35">
      <c r="B96" s="87" t="s">
        <v>1220</v>
      </c>
      <c r="C96" s="87" t="s">
        <v>447</v>
      </c>
      <c r="D96" s="87" t="s">
        <v>499</v>
      </c>
      <c r="E96" s="87" t="s">
        <v>502</v>
      </c>
      <c r="H96" s="89" t="s">
        <v>1221</v>
      </c>
      <c r="I96" s="89" t="str">
        <f t="shared" ref="I96:I144" si="5">RIGHT(D96,5)</f>
        <v>BD002</v>
      </c>
      <c r="J96" s="87" t="str">
        <f t="shared" si="1"/>
        <v>Board of Directors</v>
      </c>
      <c r="L96" s="87" t="str">
        <f t="shared" si="2"/>
        <v>10301BD002</v>
      </c>
      <c r="O96" s="85" t="s">
        <v>1222</v>
      </c>
      <c r="P96" s="85" t="s">
        <v>213</v>
      </c>
    </row>
    <row r="97" spans="2:16" outlineLevel="1" x14ac:dyDescent="0.35">
      <c r="B97" s="87" t="s">
        <v>1220</v>
      </c>
      <c r="C97" s="87" t="s">
        <v>14</v>
      </c>
      <c r="D97" s="87" t="s">
        <v>145</v>
      </c>
      <c r="E97" s="87" t="s">
        <v>185</v>
      </c>
      <c r="H97" s="89" t="s">
        <v>1221</v>
      </c>
      <c r="I97" s="89" t="str">
        <f t="shared" si="5"/>
        <v>CP001</v>
      </c>
      <c r="J97" s="87" t="str">
        <f t="shared" si="1"/>
        <v>Corp. Planning &amp; Sustainability</v>
      </c>
      <c r="L97" s="87" t="str">
        <f t="shared" si="2"/>
        <v>10301CP001</v>
      </c>
      <c r="O97" s="85" t="s">
        <v>1222</v>
      </c>
      <c r="P97" s="85" t="s">
        <v>216</v>
      </c>
    </row>
    <row r="98" spans="2:16" outlineLevel="1" x14ac:dyDescent="0.35">
      <c r="B98" s="87" t="s">
        <v>1220</v>
      </c>
      <c r="C98" s="87" t="s">
        <v>15</v>
      </c>
      <c r="D98" s="87" t="s">
        <v>150</v>
      </c>
      <c r="E98" s="87" t="s">
        <v>209</v>
      </c>
      <c r="H98" s="89" t="s">
        <v>1221</v>
      </c>
      <c r="I98" s="89" t="str">
        <f t="shared" si="5"/>
        <v>IA001</v>
      </c>
      <c r="J98" s="87" t="str">
        <f t="shared" si="1"/>
        <v>Internal Audit</v>
      </c>
      <c r="L98" s="87" t="str">
        <f t="shared" si="2"/>
        <v>10301IA001</v>
      </c>
      <c r="O98" s="85" t="s">
        <v>405</v>
      </c>
      <c r="P98" s="85" t="s">
        <v>593</v>
      </c>
    </row>
    <row r="99" spans="2:16" outlineLevel="1" x14ac:dyDescent="0.35">
      <c r="B99" s="261" t="s">
        <v>1220</v>
      </c>
      <c r="C99" s="261" t="s">
        <v>616</v>
      </c>
      <c r="D99" s="261"/>
      <c r="E99" s="261" t="s">
        <v>1260</v>
      </c>
      <c r="F99" s="85" t="s">
        <v>1257</v>
      </c>
      <c r="H99" s="89" t="s">
        <v>1221</v>
      </c>
      <c r="I99" s="89" t="str">
        <f t="shared" si="5"/>
        <v/>
      </c>
      <c r="J99" s="87" t="str">
        <f t="shared" si="1"/>
        <v>Sustainability</v>
      </c>
      <c r="L99" s="87">
        <f t="shared" si="2"/>
        <v>0</v>
      </c>
      <c r="O99" s="85" t="s">
        <v>405</v>
      </c>
      <c r="P99" s="85" t="s">
        <v>1252</v>
      </c>
    </row>
    <row r="100" spans="2:16" outlineLevel="1" x14ac:dyDescent="0.35">
      <c r="B100" s="261" t="s">
        <v>1220</v>
      </c>
      <c r="C100" s="261" t="s">
        <v>1280</v>
      </c>
      <c r="D100" s="261"/>
      <c r="E100" s="261" t="s">
        <v>1294</v>
      </c>
      <c r="F100" s="85" t="s">
        <v>1257</v>
      </c>
      <c r="H100" s="89" t="s">
        <v>1221</v>
      </c>
      <c r="I100" s="89" t="str">
        <f t="shared" si="5"/>
        <v/>
      </c>
      <c r="J100" s="87" t="str">
        <f t="shared" si="1"/>
        <v>Project Management</v>
      </c>
      <c r="L100" s="87">
        <f t="shared" si="2"/>
        <v>0</v>
      </c>
      <c r="O100" s="85" t="s">
        <v>405</v>
      </c>
      <c r="P100" s="85" t="s">
        <v>598</v>
      </c>
    </row>
    <row r="101" spans="2:16" outlineLevel="1" x14ac:dyDescent="0.35">
      <c r="B101" s="87" t="s">
        <v>1222</v>
      </c>
      <c r="C101" s="87" t="s">
        <v>1223</v>
      </c>
      <c r="D101" s="87" t="s">
        <v>152</v>
      </c>
      <c r="E101" s="87" t="s">
        <v>184</v>
      </c>
      <c r="H101" s="89" t="s">
        <v>1224</v>
      </c>
      <c r="I101" s="89" t="str">
        <f t="shared" si="5"/>
        <v>CL001</v>
      </c>
      <c r="J101" s="87" t="str">
        <f t="shared" si="1"/>
        <v>General Counsel</v>
      </c>
      <c r="L101" s="87" t="str">
        <f t="shared" si="2"/>
        <v>10301CL001</v>
      </c>
      <c r="O101" s="85" t="s">
        <v>1218</v>
      </c>
      <c r="P101" s="85" t="s">
        <v>585</v>
      </c>
    </row>
    <row r="102" spans="2:16" outlineLevel="1" x14ac:dyDescent="0.35">
      <c r="B102" s="87" t="s">
        <v>1222</v>
      </c>
      <c r="C102" s="87" t="s">
        <v>1225</v>
      </c>
      <c r="D102" s="87" t="s">
        <v>160</v>
      </c>
      <c r="E102" s="87" t="s">
        <v>186</v>
      </c>
      <c r="H102" s="89" t="s">
        <v>1224</v>
      </c>
      <c r="I102" s="89" t="str">
        <f t="shared" si="5"/>
        <v>CS001</v>
      </c>
      <c r="J102" s="87" t="str">
        <f t="shared" si="1"/>
        <v>Compliance &amp; Governance</v>
      </c>
      <c r="L102" s="87" t="str">
        <f t="shared" si="2"/>
        <v>10301CS001</v>
      </c>
      <c r="O102" s="85" t="s">
        <v>1218</v>
      </c>
      <c r="P102" s="85" t="s">
        <v>606</v>
      </c>
    </row>
    <row r="103" spans="2:16" outlineLevel="1" x14ac:dyDescent="0.35">
      <c r="B103" s="87" t="s">
        <v>1222</v>
      </c>
      <c r="C103" s="87" t="s">
        <v>1226</v>
      </c>
      <c r="D103" s="87" t="s">
        <v>166</v>
      </c>
      <c r="E103" s="87" t="s">
        <v>213</v>
      </c>
      <c r="H103" s="89" t="s">
        <v>1224</v>
      </c>
      <c r="I103" s="89" t="str">
        <f t="shared" si="5"/>
        <v>MS005</v>
      </c>
      <c r="J103" s="87" t="str">
        <f t="shared" si="1"/>
        <v>Permit &amp; Licensing</v>
      </c>
      <c r="L103" s="87" t="str">
        <f t="shared" si="2"/>
        <v>10301MS005</v>
      </c>
      <c r="O103" s="85" t="s">
        <v>1218</v>
      </c>
      <c r="P103" s="85" t="s">
        <v>595</v>
      </c>
    </row>
    <row r="104" spans="2:16" outlineLevel="1" x14ac:dyDescent="0.35">
      <c r="B104" s="87" t="s">
        <v>1222</v>
      </c>
      <c r="C104" s="87" t="s">
        <v>1226</v>
      </c>
      <c r="D104" s="87" t="s">
        <v>153</v>
      </c>
      <c r="E104" s="87" t="s">
        <v>216</v>
      </c>
      <c r="H104" s="89" t="s">
        <v>1224</v>
      </c>
      <c r="I104" s="89" t="str">
        <f t="shared" si="5"/>
        <v>MS008</v>
      </c>
      <c r="J104" s="87" t="str">
        <f t="shared" si="1"/>
        <v>Permit &amp; Licensing</v>
      </c>
      <c r="L104" s="87" t="str">
        <f t="shared" si="2"/>
        <v>10301MS008</v>
      </c>
      <c r="O104" s="85" t="s">
        <v>576</v>
      </c>
      <c r="P104" s="85" t="s">
        <v>603</v>
      </c>
    </row>
    <row r="105" spans="2:16" outlineLevel="1" x14ac:dyDescent="0.35">
      <c r="B105" s="87" t="s">
        <v>188</v>
      </c>
      <c r="C105" s="87" t="s">
        <v>20</v>
      </c>
      <c r="D105" s="87" t="s">
        <v>155</v>
      </c>
      <c r="E105" s="87" t="s">
        <v>187</v>
      </c>
      <c r="H105" s="89" t="s">
        <v>188</v>
      </c>
      <c r="I105" s="89" t="str">
        <f t="shared" si="5"/>
        <v>FA001</v>
      </c>
      <c r="J105" s="87" t="str">
        <f t="shared" si="1"/>
        <v>Treasury &amp; Finance</v>
      </c>
      <c r="L105" s="87" t="str">
        <f t="shared" si="2"/>
        <v>10301FA001</v>
      </c>
      <c r="O105" s="85" t="s">
        <v>1220</v>
      </c>
      <c r="P105" s="85" t="s">
        <v>183</v>
      </c>
    </row>
    <row r="106" spans="2:16" outlineLevel="1" x14ac:dyDescent="0.35">
      <c r="B106" s="87" t="s">
        <v>188</v>
      </c>
      <c r="C106" s="87" t="s">
        <v>1227</v>
      </c>
      <c r="D106" s="87" t="s">
        <v>143</v>
      </c>
      <c r="E106" s="87" t="s">
        <v>189</v>
      </c>
      <c r="H106" s="89" t="s">
        <v>188</v>
      </c>
      <c r="I106" s="89" t="str">
        <f t="shared" si="5"/>
        <v>FA002</v>
      </c>
      <c r="J106" s="87" t="str">
        <f t="shared" si="1"/>
        <v>Accounting &amp; Fixed Asset Management</v>
      </c>
      <c r="L106" s="87" t="str">
        <f t="shared" si="2"/>
        <v>10301FA002</v>
      </c>
      <c r="O106" s="85" t="s">
        <v>1220</v>
      </c>
      <c r="P106" s="85" t="s">
        <v>502</v>
      </c>
    </row>
    <row r="107" spans="2:16" outlineLevel="1" x14ac:dyDescent="0.35">
      <c r="B107" s="87" t="s">
        <v>188</v>
      </c>
      <c r="C107" s="87" t="s">
        <v>19</v>
      </c>
      <c r="D107" s="87" t="s">
        <v>154</v>
      </c>
      <c r="E107" s="87" t="s">
        <v>190</v>
      </c>
      <c r="H107" s="89" t="s">
        <v>188</v>
      </c>
      <c r="I107" s="89" t="str">
        <f t="shared" si="5"/>
        <v>FA003</v>
      </c>
      <c r="J107" s="87" t="str">
        <f t="shared" si="1"/>
        <v>Taxation</v>
      </c>
      <c r="L107" s="87" t="str">
        <f t="shared" si="2"/>
        <v>10301FA003</v>
      </c>
      <c r="O107" s="85" t="s">
        <v>1220</v>
      </c>
      <c r="P107" s="85" t="s">
        <v>185</v>
      </c>
    </row>
    <row r="108" spans="2:16" outlineLevel="1" x14ac:dyDescent="0.35">
      <c r="B108" s="87" t="s">
        <v>188</v>
      </c>
      <c r="C108" s="87" t="s">
        <v>18</v>
      </c>
      <c r="D108" s="87" t="s">
        <v>146</v>
      </c>
      <c r="E108" s="87" t="s">
        <v>191</v>
      </c>
      <c r="H108" s="89" t="s">
        <v>188</v>
      </c>
      <c r="I108" s="89" t="str">
        <f t="shared" si="5"/>
        <v>FA004</v>
      </c>
      <c r="J108" s="87" t="str">
        <f t="shared" si="1"/>
        <v>Financial Planning &amp; Analysis</v>
      </c>
      <c r="L108" s="87" t="str">
        <f t="shared" si="2"/>
        <v>10301FA004</v>
      </c>
      <c r="O108" s="85" t="s">
        <v>1220</v>
      </c>
      <c r="P108" s="85" t="s">
        <v>209</v>
      </c>
    </row>
    <row r="109" spans="2:16" outlineLevel="1" x14ac:dyDescent="0.35">
      <c r="B109" s="87" t="s">
        <v>188</v>
      </c>
      <c r="C109" s="87" t="s">
        <v>20</v>
      </c>
      <c r="D109" s="87" t="s">
        <v>162</v>
      </c>
      <c r="E109" s="87" t="s">
        <v>193</v>
      </c>
      <c r="H109" s="89" t="s">
        <v>188</v>
      </c>
      <c r="I109" s="89" t="str">
        <f t="shared" si="5"/>
        <v>FA006</v>
      </c>
      <c r="J109" s="87" t="str">
        <f t="shared" si="1"/>
        <v>Treasury &amp; Finance</v>
      </c>
      <c r="L109" s="87" t="str">
        <f t="shared" si="2"/>
        <v>10301FA006</v>
      </c>
      <c r="O109" s="85" t="s">
        <v>1220</v>
      </c>
      <c r="P109" s="85" t="s">
        <v>1260</v>
      </c>
    </row>
    <row r="110" spans="2:16" outlineLevel="1" x14ac:dyDescent="0.35">
      <c r="B110" s="87" t="s">
        <v>188</v>
      </c>
      <c r="C110" s="87" t="s">
        <v>1227</v>
      </c>
      <c r="D110" s="87" t="s">
        <v>156</v>
      </c>
      <c r="E110" s="87" t="s">
        <v>194</v>
      </c>
      <c r="H110" s="89" t="s">
        <v>188</v>
      </c>
      <c r="I110" s="89" t="str">
        <f t="shared" si="5"/>
        <v>FA007</v>
      </c>
      <c r="J110" s="87" t="str">
        <f t="shared" si="1"/>
        <v>Accounting &amp; Fixed Asset Management</v>
      </c>
      <c r="L110" s="87" t="str">
        <f t="shared" si="2"/>
        <v>10301FA007</v>
      </c>
      <c r="O110" s="85" t="s">
        <v>1220</v>
      </c>
      <c r="P110" s="85" t="s">
        <v>1294</v>
      </c>
    </row>
    <row r="111" spans="2:16" outlineLevel="1" x14ac:dyDescent="0.35">
      <c r="B111" s="87" t="s">
        <v>188</v>
      </c>
      <c r="C111" s="87" t="s">
        <v>1227</v>
      </c>
      <c r="D111" s="87" t="s">
        <v>500</v>
      </c>
      <c r="E111" s="87" t="s">
        <v>503</v>
      </c>
      <c r="H111" s="89" t="s">
        <v>188</v>
      </c>
      <c r="I111" s="89" t="str">
        <f t="shared" si="5"/>
        <v>FA008</v>
      </c>
      <c r="J111" s="87" t="str">
        <f t="shared" si="1"/>
        <v>Accounting &amp; Fixed Asset Management</v>
      </c>
      <c r="L111" s="87" t="str">
        <f t="shared" si="2"/>
        <v>10301FA008</v>
      </c>
      <c r="O111" s="85" t="s">
        <v>1220</v>
      </c>
      <c r="P111" s="85" t="s">
        <v>217</v>
      </c>
    </row>
    <row r="112" spans="2:16" outlineLevel="1" x14ac:dyDescent="0.35">
      <c r="B112" s="87" t="s">
        <v>577</v>
      </c>
      <c r="C112" s="87" t="s">
        <v>21</v>
      </c>
      <c r="D112" s="87" t="s">
        <v>147</v>
      </c>
      <c r="E112" s="87" t="s">
        <v>195</v>
      </c>
      <c r="H112" s="89" t="s">
        <v>59</v>
      </c>
      <c r="I112" s="89" t="str">
        <f t="shared" si="5"/>
        <v>GA001</v>
      </c>
      <c r="J112" s="87" t="str">
        <f t="shared" si="1"/>
        <v>General Affairs</v>
      </c>
      <c r="L112" s="87" t="str">
        <f t="shared" si="2"/>
        <v>10301GA001</v>
      </c>
      <c r="O112" s="85" t="s">
        <v>1220</v>
      </c>
      <c r="P112" s="85" t="s">
        <v>218</v>
      </c>
    </row>
    <row r="113" spans="2:16" outlineLevel="1" x14ac:dyDescent="0.35">
      <c r="B113" s="87" t="s">
        <v>577</v>
      </c>
      <c r="C113" s="87" t="s">
        <v>21</v>
      </c>
      <c r="D113" s="87" t="s">
        <v>157</v>
      </c>
      <c r="E113" s="87" t="s">
        <v>196</v>
      </c>
      <c r="H113" s="89" t="s">
        <v>59</v>
      </c>
      <c r="I113" s="89" t="str">
        <f t="shared" si="5"/>
        <v>GA002</v>
      </c>
      <c r="J113" s="87" t="str">
        <f t="shared" si="1"/>
        <v>General Affairs</v>
      </c>
      <c r="L113" s="87" t="str">
        <f t="shared" si="2"/>
        <v>10301GA002</v>
      </c>
      <c r="O113" s="85" t="s">
        <v>385</v>
      </c>
      <c r="P113" s="85" t="s">
        <v>586</v>
      </c>
    </row>
    <row r="114" spans="2:16" outlineLevel="1" x14ac:dyDescent="0.35">
      <c r="B114" s="87" t="s">
        <v>577</v>
      </c>
      <c r="C114" s="87" t="s">
        <v>21</v>
      </c>
      <c r="D114" s="87" t="s">
        <v>164</v>
      </c>
      <c r="E114" s="87" t="s">
        <v>197</v>
      </c>
      <c r="H114" s="89" t="s">
        <v>59</v>
      </c>
      <c r="I114" s="89" t="str">
        <f t="shared" si="5"/>
        <v>GA003</v>
      </c>
      <c r="J114" s="87" t="str">
        <f t="shared" si="1"/>
        <v>General Affairs</v>
      </c>
      <c r="L114" s="87" t="str">
        <f t="shared" si="2"/>
        <v>10301GA003</v>
      </c>
      <c r="O114" s="85" t="s">
        <v>385</v>
      </c>
      <c r="P114" s="85" t="s">
        <v>607</v>
      </c>
    </row>
    <row r="115" spans="2:16" outlineLevel="1" x14ac:dyDescent="0.35">
      <c r="B115" s="87" t="s">
        <v>577</v>
      </c>
      <c r="C115" s="87" t="s">
        <v>21</v>
      </c>
      <c r="D115" s="87" t="s">
        <v>169</v>
      </c>
      <c r="E115" s="87" t="s">
        <v>198</v>
      </c>
      <c r="H115" s="89" t="s">
        <v>59</v>
      </c>
      <c r="I115" s="89" t="str">
        <f t="shared" si="5"/>
        <v>GA004</v>
      </c>
      <c r="J115" s="87" t="str">
        <f t="shared" si="1"/>
        <v>General Affairs</v>
      </c>
      <c r="L115" s="87" t="str">
        <f t="shared" si="2"/>
        <v>10301GA004</v>
      </c>
      <c r="O115" s="85" t="s">
        <v>385</v>
      </c>
      <c r="P115" s="85" t="s">
        <v>596</v>
      </c>
    </row>
    <row r="116" spans="2:16" outlineLevel="1" x14ac:dyDescent="0.35">
      <c r="B116" s="87" t="s">
        <v>577</v>
      </c>
      <c r="C116" s="87" t="s">
        <v>21</v>
      </c>
      <c r="D116" s="87" t="s">
        <v>172</v>
      </c>
      <c r="E116" s="87" t="s">
        <v>199</v>
      </c>
      <c r="H116" s="89" t="s">
        <v>59</v>
      </c>
      <c r="I116" s="89" t="str">
        <f t="shared" si="5"/>
        <v>GA005</v>
      </c>
      <c r="J116" s="87" t="str">
        <f t="shared" si="1"/>
        <v>General Affairs</v>
      </c>
      <c r="L116" s="87" t="str">
        <f t="shared" si="2"/>
        <v>10301GA005</v>
      </c>
      <c r="O116" s="85" t="s">
        <v>385</v>
      </c>
      <c r="P116" s="85" t="s">
        <v>599</v>
      </c>
    </row>
    <row r="117" spans="2:16" outlineLevel="1" x14ac:dyDescent="0.35">
      <c r="B117" s="87" t="s">
        <v>577</v>
      </c>
      <c r="C117" s="87" t="s">
        <v>21</v>
      </c>
      <c r="D117" s="87" t="s">
        <v>175</v>
      </c>
      <c r="E117" s="87" t="s">
        <v>200</v>
      </c>
      <c r="H117" s="89" t="s">
        <v>59</v>
      </c>
      <c r="I117" s="89" t="str">
        <f t="shared" si="5"/>
        <v>GA008</v>
      </c>
      <c r="J117" s="87" t="str">
        <f t="shared" si="1"/>
        <v>General Affairs</v>
      </c>
      <c r="L117" s="87" t="str">
        <f t="shared" si="2"/>
        <v>10301GA008</v>
      </c>
      <c r="O117" s="85" t="s">
        <v>446</v>
      </c>
      <c r="P117" s="85" t="s">
        <v>587</v>
      </c>
    </row>
    <row r="118" spans="2:16" outlineLevel="1" x14ac:dyDescent="0.35">
      <c r="B118" s="87" t="s">
        <v>577</v>
      </c>
      <c r="C118" s="87" t="s">
        <v>22</v>
      </c>
      <c r="D118" s="87" t="s">
        <v>149</v>
      </c>
      <c r="E118" s="87" t="s">
        <v>201</v>
      </c>
      <c r="H118" s="89" t="s">
        <v>34</v>
      </c>
      <c r="I118" s="89" t="str">
        <f t="shared" si="5"/>
        <v>HR001</v>
      </c>
      <c r="J118" s="87" t="str">
        <f t="shared" si="1"/>
        <v>Human Resources</v>
      </c>
      <c r="L118" s="87" t="str">
        <f t="shared" si="2"/>
        <v>10301HR001</v>
      </c>
      <c r="O118" s="85" t="s">
        <v>446</v>
      </c>
      <c r="P118" s="85" t="s">
        <v>608</v>
      </c>
    </row>
    <row r="119" spans="2:16" outlineLevel="1" x14ac:dyDescent="0.35">
      <c r="B119" s="87" t="s">
        <v>577</v>
      </c>
      <c r="C119" s="87" t="s">
        <v>22</v>
      </c>
      <c r="D119" s="87" t="s">
        <v>158</v>
      </c>
      <c r="E119" s="87" t="s">
        <v>202</v>
      </c>
      <c r="H119" s="89" t="s">
        <v>34</v>
      </c>
      <c r="I119" s="89" t="str">
        <f t="shared" si="5"/>
        <v>HR002</v>
      </c>
      <c r="J119" s="87" t="str">
        <f t="shared" si="1"/>
        <v>Human Resources</v>
      </c>
      <c r="L119" s="87" t="str">
        <f t="shared" si="2"/>
        <v>10301HR002</v>
      </c>
      <c r="O119" s="85" t="s">
        <v>446</v>
      </c>
      <c r="P119" s="85" t="s">
        <v>597</v>
      </c>
    </row>
    <row r="120" spans="2:16" outlineLevel="1" x14ac:dyDescent="0.35">
      <c r="B120" s="87" t="s">
        <v>577</v>
      </c>
      <c r="C120" s="87" t="s">
        <v>22</v>
      </c>
      <c r="D120" s="87" t="s">
        <v>165</v>
      </c>
      <c r="E120" s="87" t="s">
        <v>203</v>
      </c>
      <c r="H120" s="89" t="s">
        <v>34</v>
      </c>
      <c r="I120" s="89" t="str">
        <f t="shared" si="5"/>
        <v>HR003</v>
      </c>
      <c r="J120" s="87" t="str">
        <f t="shared" si="1"/>
        <v>Human Resources</v>
      </c>
      <c r="L120" s="87" t="str">
        <f t="shared" si="2"/>
        <v>10301HR003</v>
      </c>
      <c r="O120" s="85" t="s">
        <v>446</v>
      </c>
      <c r="P120" s="85" t="s">
        <v>600</v>
      </c>
    </row>
    <row r="121" spans="2:16" outlineLevel="1" x14ac:dyDescent="0.35">
      <c r="B121" s="87" t="s">
        <v>577</v>
      </c>
      <c r="C121" s="87" t="s">
        <v>22</v>
      </c>
      <c r="D121" s="87" t="s">
        <v>170</v>
      </c>
      <c r="E121" s="87" t="s">
        <v>204</v>
      </c>
      <c r="H121" s="89" t="s">
        <v>34</v>
      </c>
      <c r="I121" s="89" t="str">
        <f t="shared" si="5"/>
        <v>HR004</v>
      </c>
      <c r="J121" s="87" t="str">
        <f t="shared" si="1"/>
        <v>Human Resources</v>
      </c>
      <c r="L121" s="87" t="str">
        <f t="shared" si="2"/>
        <v>10301HR004</v>
      </c>
      <c r="O121" s="85" t="s">
        <v>1228</v>
      </c>
      <c r="P121" s="85" t="s">
        <v>1296</v>
      </c>
    </row>
    <row r="122" spans="2:16" outlineLevel="1" x14ac:dyDescent="0.35">
      <c r="B122" s="87" t="s">
        <v>577</v>
      </c>
      <c r="C122" s="87" t="s">
        <v>22</v>
      </c>
      <c r="D122" s="87" t="s">
        <v>173</v>
      </c>
      <c r="E122" s="87" t="s">
        <v>205</v>
      </c>
      <c r="H122" s="89" t="s">
        <v>34</v>
      </c>
      <c r="I122" s="89" t="str">
        <f t="shared" si="5"/>
        <v>HR005</v>
      </c>
      <c r="J122" s="87" t="str">
        <f t="shared" si="1"/>
        <v>Human Resources</v>
      </c>
      <c r="L122" s="87" t="str">
        <f t="shared" si="2"/>
        <v>10301HR005</v>
      </c>
      <c r="O122" s="85" t="s">
        <v>1228</v>
      </c>
      <c r="P122" s="85" t="s">
        <v>1297</v>
      </c>
    </row>
    <row r="123" spans="2:16" outlineLevel="1" x14ac:dyDescent="0.35">
      <c r="B123" s="87" t="s">
        <v>577</v>
      </c>
      <c r="C123" s="87" t="s">
        <v>22</v>
      </c>
      <c r="D123" s="87" t="s">
        <v>176</v>
      </c>
      <c r="E123" s="87" t="s">
        <v>206</v>
      </c>
      <c r="H123" s="89" t="s">
        <v>34</v>
      </c>
      <c r="I123" s="89" t="str">
        <f t="shared" si="5"/>
        <v>HR007</v>
      </c>
      <c r="J123" s="87" t="str">
        <f t="shared" si="1"/>
        <v>Human Resources</v>
      </c>
      <c r="L123" s="87" t="str">
        <f t="shared" si="2"/>
        <v>10301HR007</v>
      </c>
      <c r="O123" s="85" t="s">
        <v>1228</v>
      </c>
      <c r="P123" s="85" t="s">
        <v>215</v>
      </c>
    </row>
    <row r="124" spans="2:16" outlineLevel="1" x14ac:dyDescent="0.35">
      <c r="B124" s="87" t="s">
        <v>577</v>
      </c>
      <c r="C124" s="87" t="s">
        <v>21</v>
      </c>
      <c r="D124" s="87" t="s">
        <v>178</v>
      </c>
      <c r="E124" s="87" t="s">
        <v>212</v>
      </c>
      <c r="H124" s="89" t="s">
        <v>59</v>
      </c>
      <c r="I124" s="89" t="str">
        <f t="shared" si="5"/>
        <v>MS001</v>
      </c>
      <c r="J124" s="87" t="str">
        <f t="shared" ref="J124:J144" si="6">C124</f>
        <v>General Affairs</v>
      </c>
      <c r="L124" s="87" t="str">
        <f t="shared" ref="L124:L144" si="7">D124</f>
        <v>10301MS001</v>
      </c>
      <c r="O124" s="85" t="s">
        <v>1228</v>
      </c>
      <c r="P124" s="85" t="s">
        <v>1298</v>
      </c>
    </row>
    <row r="125" spans="2:16" outlineLevel="1" x14ac:dyDescent="0.35">
      <c r="B125" s="87" t="s">
        <v>16</v>
      </c>
      <c r="C125" s="87" t="s">
        <v>180</v>
      </c>
      <c r="D125" s="87" t="s">
        <v>148</v>
      </c>
      <c r="E125" s="87" t="s">
        <v>207</v>
      </c>
      <c r="H125" s="89" t="s">
        <v>16</v>
      </c>
      <c r="I125" s="89" t="str">
        <f t="shared" si="5"/>
        <v>HS001</v>
      </c>
      <c r="J125" s="87" t="str">
        <f t="shared" si="6"/>
        <v>Health &amp; Safety</v>
      </c>
      <c r="L125" s="87" t="str">
        <f t="shared" si="7"/>
        <v>10301HS001</v>
      </c>
      <c r="O125" s="85" t="s">
        <v>1231</v>
      </c>
      <c r="P125" s="85" t="s">
        <v>219</v>
      </c>
    </row>
    <row r="126" spans="2:16" outlineLevel="1" x14ac:dyDescent="0.35">
      <c r="B126" s="87" t="s">
        <v>16</v>
      </c>
      <c r="C126" s="87" t="s">
        <v>181</v>
      </c>
      <c r="D126" s="87" t="s">
        <v>174</v>
      </c>
      <c r="E126" s="87" t="s">
        <v>208</v>
      </c>
      <c r="H126" s="89" t="s">
        <v>16</v>
      </c>
      <c r="I126" s="89" t="str">
        <f t="shared" si="5"/>
        <v>HS002</v>
      </c>
      <c r="J126" s="87" t="str">
        <f t="shared" si="6"/>
        <v>Environment</v>
      </c>
      <c r="L126" s="87" t="str">
        <f t="shared" si="7"/>
        <v>10301HS002</v>
      </c>
      <c r="O126" s="85" t="s">
        <v>1231</v>
      </c>
      <c r="P126" s="85" t="s">
        <v>506</v>
      </c>
    </row>
    <row r="127" spans="2:16" outlineLevel="1" x14ac:dyDescent="0.35">
      <c r="B127" s="87" t="s">
        <v>23</v>
      </c>
      <c r="C127" s="87" t="s">
        <v>129</v>
      </c>
      <c r="D127" s="87" t="s">
        <v>151</v>
      </c>
      <c r="E127" s="87" t="s">
        <v>210</v>
      </c>
      <c r="H127" s="89" t="s">
        <v>23</v>
      </c>
      <c r="I127" s="89" t="str">
        <f t="shared" si="5"/>
        <v>IT001</v>
      </c>
      <c r="J127" s="87" t="str">
        <f t="shared" si="6"/>
        <v>Information Technology</v>
      </c>
      <c r="L127" s="87" t="str">
        <f t="shared" si="7"/>
        <v>10301IT001</v>
      </c>
      <c r="O127" s="85" t="s">
        <v>1231</v>
      </c>
      <c r="P127" s="85" t="s">
        <v>224</v>
      </c>
    </row>
    <row r="128" spans="2:16" outlineLevel="1" x14ac:dyDescent="0.35">
      <c r="B128" s="87" t="s">
        <v>23</v>
      </c>
      <c r="C128" s="87" t="s">
        <v>129</v>
      </c>
      <c r="D128" s="87" t="s">
        <v>211</v>
      </c>
      <c r="E128" s="87" t="s">
        <v>497</v>
      </c>
      <c r="H128" s="89" t="s">
        <v>23</v>
      </c>
      <c r="I128" s="89" t="str">
        <f t="shared" si="5"/>
        <v>IT002</v>
      </c>
      <c r="J128" s="87" t="str">
        <f t="shared" si="6"/>
        <v>Information Technology</v>
      </c>
      <c r="L128" s="87" t="str">
        <f t="shared" si="7"/>
        <v>10301IT002</v>
      </c>
      <c r="O128" s="85" t="s">
        <v>1231</v>
      </c>
      <c r="P128" s="85" t="s">
        <v>510</v>
      </c>
    </row>
    <row r="129" spans="2:16" outlineLevel="1" x14ac:dyDescent="0.35">
      <c r="B129" s="87" t="s">
        <v>23</v>
      </c>
      <c r="C129" s="87" t="s">
        <v>129</v>
      </c>
      <c r="D129" s="87" t="s">
        <v>159</v>
      </c>
      <c r="E129" s="14" t="s">
        <v>1295</v>
      </c>
      <c r="H129" s="89" t="s">
        <v>23</v>
      </c>
      <c r="I129" s="89" t="str">
        <f t="shared" si="5"/>
        <v>IT003</v>
      </c>
      <c r="J129" s="87" t="str">
        <f t="shared" si="6"/>
        <v>Information Technology</v>
      </c>
      <c r="L129" s="87" t="str">
        <f t="shared" si="7"/>
        <v>10301IT003</v>
      </c>
      <c r="O129" s="85" t="s">
        <v>137</v>
      </c>
      <c r="P129" s="85" t="s">
        <v>581</v>
      </c>
    </row>
    <row r="130" spans="2:16" outlineLevel="1" x14ac:dyDescent="0.35">
      <c r="B130" s="87" t="s">
        <v>23</v>
      </c>
      <c r="C130" s="87" t="s">
        <v>129</v>
      </c>
      <c r="D130" s="87" t="s">
        <v>501</v>
      </c>
      <c r="E130" s="87" t="s">
        <v>504</v>
      </c>
      <c r="H130" s="89" t="s">
        <v>23</v>
      </c>
      <c r="I130" s="89" t="str">
        <f t="shared" si="5"/>
        <v>IT004</v>
      </c>
      <c r="J130" s="87" t="str">
        <f t="shared" si="6"/>
        <v>Information Technology</v>
      </c>
      <c r="L130" s="87" t="str">
        <f t="shared" si="7"/>
        <v>10301IT004</v>
      </c>
      <c r="O130" s="85" t="s">
        <v>137</v>
      </c>
      <c r="P130" s="85" t="s">
        <v>582</v>
      </c>
    </row>
    <row r="131" spans="2:16" outlineLevel="1" x14ac:dyDescent="0.35">
      <c r="B131" s="87" t="s">
        <v>1228</v>
      </c>
      <c r="C131" s="87" t="s">
        <v>1229</v>
      </c>
      <c r="D131" s="87" t="s">
        <v>161</v>
      </c>
      <c r="E131" s="87" t="s">
        <v>1296</v>
      </c>
      <c r="H131" s="89" t="s">
        <v>1230</v>
      </c>
      <c r="I131" s="89" t="str">
        <f t="shared" si="5"/>
        <v>MS002</v>
      </c>
      <c r="J131" s="87" t="str">
        <f t="shared" si="6"/>
        <v>Government Relation &amp; EA</v>
      </c>
      <c r="L131" s="87" t="str">
        <f t="shared" si="7"/>
        <v>10301MS002</v>
      </c>
      <c r="O131" s="85" t="s">
        <v>137</v>
      </c>
      <c r="P131" s="85" t="s">
        <v>583</v>
      </c>
    </row>
    <row r="132" spans="2:16" outlineLevel="1" x14ac:dyDescent="0.35">
      <c r="B132" s="87" t="s">
        <v>1228</v>
      </c>
      <c r="C132" s="87" t="s">
        <v>1229</v>
      </c>
      <c r="D132" s="87" t="s">
        <v>167</v>
      </c>
      <c r="E132" s="87" t="s">
        <v>1297</v>
      </c>
      <c r="H132" s="89" t="s">
        <v>1230</v>
      </c>
      <c r="I132" s="89" t="str">
        <f t="shared" si="5"/>
        <v>MS006</v>
      </c>
      <c r="J132" s="87" t="str">
        <f t="shared" si="6"/>
        <v>Government Relation &amp; EA</v>
      </c>
      <c r="L132" s="87" t="str">
        <f t="shared" si="7"/>
        <v>10301MS006</v>
      </c>
      <c r="O132" s="85" t="s">
        <v>137</v>
      </c>
      <c r="P132" s="85" t="s">
        <v>221</v>
      </c>
    </row>
    <row r="133" spans="2:16" outlineLevel="1" x14ac:dyDescent="0.35">
      <c r="B133" s="87" t="s">
        <v>1228</v>
      </c>
      <c r="C133" s="87" t="s">
        <v>1229</v>
      </c>
      <c r="D133" s="87" t="s">
        <v>171</v>
      </c>
      <c r="E133" s="87" t="s">
        <v>215</v>
      </c>
      <c r="H133" s="89" t="s">
        <v>1230</v>
      </c>
      <c r="I133" s="89" t="str">
        <f t="shared" si="5"/>
        <v>MS007</v>
      </c>
      <c r="J133" s="87" t="str">
        <f t="shared" si="6"/>
        <v>Government Relation &amp; EA</v>
      </c>
      <c r="L133" s="87" t="str">
        <f t="shared" si="7"/>
        <v>10301MS007</v>
      </c>
      <c r="O133" s="85" t="s">
        <v>137</v>
      </c>
      <c r="P133" s="85" t="s">
        <v>223</v>
      </c>
    </row>
    <row r="134" spans="2:16" outlineLevel="1" x14ac:dyDescent="0.35">
      <c r="B134" s="87" t="s">
        <v>1228</v>
      </c>
      <c r="C134" s="87" t="s">
        <v>1229</v>
      </c>
      <c r="D134" s="87" t="s">
        <v>580</v>
      </c>
      <c r="E134" s="87" t="s">
        <v>1298</v>
      </c>
      <c r="H134" s="89" t="s">
        <v>1230</v>
      </c>
      <c r="I134" s="89" t="str">
        <f t="shared" si="5"/>
        <v>MS010</v>
      </c>
      <c r="J134" s="87" t="str">
        <f t="shared" si="6"/>
        <v>Government Relation &amp; EA</v>
      </c>
      <c r="L134" s="87" t="str">
        <f t="shared" si="7"/>
        <v>10301MS010</v>
      </c>
      <c r="O134" s="85" t="s">
        <v>137</v>
      </c>
      <c r="P134" s="85" t="s">
        <v>508</v>
      </c>
    </row>
    <row r="135" spans="2:16" outlineLevel="1" x14ac:dyDescent="0.35">
      <c r="B135" s="87" t="s">
        <v>1220</v>
      </c>
      <c r="C135" s="87" t="s">
        <v>17</v>
      </c>
      <c r="D135" s="87" t="s">
        <v>177</v>
      </c>
      <c r="E135" s="87" t="s">
        <v>217</v>
      </c>
      <c r="H135" s="89" t="s">
        <v>1221</v>
      </c>
      <c r="I135" s="89" t="str">
        <f t="shared" si="5"/>
        <v>PR001</v>
      </c>
      <c r="J135" s="87" t="str">
        <f t="shared" si="6"/>
        <v>Corporate Communication</v>
      </c>
      <c r="L135" s="87" t="str">
        <f t="shared" si="7"/>
        <v>10301PR001</v>
      </c>
      <c r="O135" s="85" t="s">
        <v>575</v>
      </c>
      <c r="P135" s="85" t="s">
        <v>351</v>
      </c>
    </row>
    <row r="136" spans="2:16" outlineLevel="1" x14ac:dyDescent="0.35">
      <c r="B136" s="87" t="s">
        <v>1220</v>
      </c>
      <c r="C136" s="87" t="s">
        <v>17</v>
      </c>
      <c r="D136" s="87" t="s">
        <v>179</v>
      </c>
      <c r="E136" s="87" t="s">
        <v>218</v>
      </c>
      <c r="H136" s="89" t="s">
        <v>1221</v>
      </c>
      <c r="I136" s="89" t="str">
        <f t="shared" si="5"/>
        <v>PR002</v>
      </c>
      <c r="J136" s="87" t="str">
        <f t="shared" si="6"/>
        <v>Corporate Communication</v>
      </c>
      <c r="L136" s="87" t="str">
        <f t="shared" si="7"/>
        <v>10301PR002</v>
      </c>
      <c r="O136" s="85" t="s">
        <v>575</v>
      </c>
      <c r="P136" s="85" t="s">
        <v>353</v>
      </c>
    </row>
    <row r="137" spans="2:16" outlineLevel="1" x14ac:dyDescent="0.35">
      <c r="B137" s="87" t="s">
        <v>137</v>
      </c>
      <c r="C137" s="87" t="s">
        <v>617</v>
      </c>
      <c r="D137" s="87" t="s">
        <v>168</v>
      </c>
      <c r="E137" s="87" t="s">
        <v>581</v>
      </c>
      <c r="H137" s="89" t="s">
        <v>137</v>
      </c>
      <c r="I137" s="89" t="str">
        <f t="shared" si="5"/>
        <v>SC002</v>
      </c>
      <c r="J137" s="87" t="str">
        <f t="shared" si="6"/>
        <v>SCM Logistics</v>
      </c>
      <c r="L137" s="87" t="str">
        <f t="shared" si="7"/>
        <v>10301SC002</v>
      </c>
      <c r="O137" s="85" t="s">
        <v>575</v>
      </c>
      <c r="P137" s="85" t="s">
        <v>355</v>
      </c>
    </row>
    <row r="138" spans="2:16" outlineLevel="1" x14ac:dyDescent="0.35">
      <c r="B138" s="87" t="s">
        <v>137</v>
      </c>
      <c r="C138" s="87" t="s">
        <v>618</v>
      </c>
      <c r="D138" s="87" t="s">
        <v>142</v>
      </c>
      <c r="E138" s="87" t="s">
        <v>582</v>
      </c>
      <c r="H138" s="89" t="s">
        <v>137</v>
      </c>
      <c r="I138" s="89" t="str">
        <f t="shared" si="5"/>
        <v>SC004</v>
      </c>
      <c r="J138" s="87" t="str">
        <f t="shared" si="6"/>
        <v>SCM Warehouse &amp; Inventory</v>
      </c>
      <c r="L138" s="87" t="str">
        <f t="shared" si="7"/>
        <v>10301SC004</v>
      </c>
      <c r="O138" s="85" t="s">
        <v>575</v>
      </c>
      <c r="P138" s="85" t="s">
        <v>357</v>
      </c>
    </row>
    <row r="139" spans="2:16" outlineLevel="1" x14ac:dyDescent="0.35">
      <c r="B139" s="87" t="s">
        <v>137</v>
      </c>
      <c r="C139" s="87" t="s">
        <v>620</v>
      </c>
      <c r="D139" s="87" t="s">
        <v>163</v>
      </c>
      <c r="E139" s="87" t="s">
        <v>583</v>
      </c>
      <c r="H139" s="89" t="s">
        <v>137</v>
      </c>
      <c r="I139" s="89" t="str">
        <f t="shared" si="5"/>
        <v>SC005</v>
      </c>
      <c r="J139" s="87" t="str">
        <f t="shared" si="6"/>
        <v>SCM Grader</v>
      </c>
      <c r="L139" s="87" t="str">
        <f t="shared" si="7"/>
        <v>10301SC005</v>
      </c>
      <c r="O139" s="85" t="s">
        <v>575</v>
      </c>
      <c r="P139" s="85" t="s">
        <v>359</v>
      </c>
    </row>
    <row r="140" spans="2:16" outlineLevel="1" x14ac:dyDescent="0.35">
      <c r="B140" s="87" t="s">
        <v>137</v>
      </c>
      <c r="C140" s="87" t="s">
        <v>618</v>
      </c>
      <c r="D140" s="87" t="s">
        <v>220</v>
      </c>
      <c r="E140" s="87" t="s">
        <v>221</v>
      </c>
      <c r="H140" s="89" t="s">
        <v>137</v>
      </c>
      <c r="I140" s="89" t="str">
        <f t="shared" si="5"/>
        <v>SC006</v>
      </c>
      <c r="J140" s="87" t="str">
        <f t="shared" si="6"/>
        <v>SCM Warehouse &amp; Inventory</v>
      </c>
      <c r="L140" s="87" t="str">
        <f t="shared" si="7"/>
        <v>10301SC006</v>
      </c>
      <c r="O140" s="85" t="s">
        <v>575</v>
      </c>
      <c r="P140" s="85" t="s">
        <v>361</v>
      </c>
    </row>
    <row r="141" spans="2:16" outlineLevel="1" x14ac:dyDescent="0.35">
      <c r="B141" s="87" t="s">
        <v>137</v>
      </c>
      <c r="C141" s="87" t="s">
        <v>618</v>
      </c>
      <c r="D141" s="87" t="s">
        <v>222</v>
      </c>
      <c r="E141" s="87" t="s">
        <v>223</v>
      </c>
      <c r="H141" s="89" t="s">
        <v>137</v>
      </c>
      <c r="I141" s="89" t="str">
        <f t="shared" si="5"/>
        <v>SC007</v>
      </c>
      <c r="J141" s="87" t="str">
        <f t="shared" si="6"/>
        <v>SCM Warehouse &amp; Inventory</v>
      </c>
      <c r="L141" s="87" t="str">
        <f t="shared" si="7"/>
        <v>10301SC007</v>
      </c>
      <c r="O141" s="85" t="s">
        <v>575</v>
      </c>
      <c r="P141" s="85" t="s">
        <v>363</v>
      </c>
    </row>
    <row r="142" spans="2:16" outlineLevel="1" x14ac:dyDescent="0.35">
      <c r="B142" s="87" t="s">
        <v>137</v>
      </c>
      <c r="C142" s="87" t="s">
        <v>618</v>
      </c>
      <c r="D142" s="87" t="s">
        <v>507</v>
      </c>
      <c r="E142" s="87" t="s">
        <v>508</v>
      </c>
      <c r="H142" s="89" t="s">
        <v>137</v>
      </c>
      <c r="I142" s="89" t="str">
        <f t="shared" si="5"/>
        <v>SC009</v>
      </c>
      <c r="J142" s="87" t="str">
        <f t="shared" si="6"/>
        <v>SCM Warehouse &amp; Inventory</v>
      </c>
      <c r="L142" s="87" t="str">
        <f t="shared" si="7"/>
        <v>10301SC009</v>
      </c>
      <c r="O142" s="85" t="s">
        <v>575</v>
      </c>
      <c r="P142" s="85" t="s">
        <v>588</v>
      </c>
    </row>
    <row r="143" spans="2:16" outlineLevel="1" x14ac:dyDescent="0.35">
      <c r="B143" s="87" t="s">
        <v>1231</v>
      </c>
      <c r="C143" s="87" t="s">
        <v>24</v>
      </c>
      <c r="D143" s="87" t="s">
        <v>141</v>
      </c>
      <c r="E143" s="87" t="s">
        <v>219</v>
      </c>
      <c r="H143" s="89" t="s">
        <v>579</v>
      </c>
      <c r="I143" s="89" t="str">
        <f t="shared" si="5"/>
        <v>SC001</v>
      </c>
      <c r="J143" s="87" t="str">
        <f t="shared" si="6"/>
        <v>Strategic Sourcing &amp; Procurement</v>
      </c>
      <c r="L143" s="87" t="str">
        <f t="shared" si="7"/>
        <v>10301SC001</v>
      </c>
      <c r="O143" s="85" t="s">
        <v>575</v>
      </c>
      <c r="P143" s="85" t="s">
        <v>589</v>
      </c>
    </row>
    <row r="144" spans="2:16" outlineLevel="1" x14ac:dyDescent="0.35">
      <c r="B144" s="87" t="s">
        <v>1231</v>
      </c>
      <c r="C144" s="87" t="s">
        <v>24</v>
      </c>
      <c r="D144" s="87" t="s">
        <v>505</v>
      </c>
      <c r="E144" s="87" t="s">
        <v>506</v>
      </c>
      <c r="H144" s="89" t="s">
        <v>579</v>
      </c>
      <c r="I144" s="89" t="str">
        <f t="shared" si="5"/>
        <v>SC008</v>
      </c>
      <c r="J144" s="87" t="str">
        <f t="shared" si="6"/>
        <v>Strategic Sourcing &amp; Procurement</v>
      </c>
      <c r="L144" s="87" t="str">
        <f t="shared" si="7"/>
        <v>10301SC008</v>
      </c>
      <c r="O144" s="85" t="s">
        <v>575</v>
      </c>
      <c r="P144" s="85" t="s">
        <v>590</v>
      </c>
    </row>
    <row r="145" spans="2:16" outlineLevel="1" x14ac:dyDescent="0.35">
      <c r="B145" s="87" t="s">
        <v>1231</v>
      </c>
      <c r="C145" s="87" t="s">
        <v>128</v>
      </c>
      <c r="D145" s="87" t="s">
        <v>140</v>
      </c>
      <c r="E145" s="87" t="s">
        <v>224</v>
      </c>
      <c r="H145" s="89" t="s">
        <v>578</v>
      </c>
      <c r="I145" s="89" t="str">
        <f t="shared" ref="I145:I146" si="8">RIGHT(D145,5)</f>
        <v>SM001</v>
      </c>
      <c r="J145" s="87" t="str">
        <f t="shared" ref="J145:J146" si="9">C145</f>
        <v>Sales</v>
      </c>
      <c r="L145" s="87" t="str">
        <f t="shared" ref="L145:L146" si="10">D145</f>
        <v>10301SM001</v>
      </c>
      <c r="O145" s="85" t="s">
        <v>575</v>
      </c>
      <c r="P145" s="85" t="s">
        <v>591</v>
      </c>
    </row>
    <row r="146" spans="2:16" outlineLevel="1" x14ac:dyDescent="0.35">
      <c r="B146" s="87" t="s">
        <v>1231</v>
      </c>
      <c r="C146" s="87" t="s">
        <v>128</v>
      </c>
      <c r="D146" s="87" t="s">
        <v>509</v>
      </c>
      <c r="E146" s="87" t="s">
        <v>510</v>
      </c>
      <c r="H146" s="89" t="s">
        <v>578</v>
      </c>
      <c r="I146" s="89" t="str">
        <f t="shared" si="8"/>
        <v>SM004</v>
      </c>
      <c r="J146" s="87" t="str">
        <f t="shared" si="9"/>
        <v>Sales</v>
      </c>
      <c r="L146" s="87" t="str">
        <f t="shared" si="10"/>
        <v>10301SM004</v>
      </c>
      <c r="O146" s="85" t="s">
        <v>411</v>
      </c>
      <c r="P146" s="85" t="s">
        <v>411</v>
      </c>
    </row>
    <row r="147" spans="2:16" outlineLevel="1" x14ac:dyDescent="0.35"/>
    <row r="148" spans="2:16" s="82" customFormat="1" x14ac:dyDescent="0.35">
      <c r="B148" s="81" t="s">
        <v>1232</v>
      </c>
      <c r="H148" s="83"/>
      <c r="I148" s="83"/>
    </row>
    <row r="150" spans="2:16" s="4" customFormat="1" x14ac:dyDescent="0.35">
      <c r="B150" s="38" t="s">
        <v>816</v>
      </c>
      <c r="H150" s="90"/>
      <c r="I150" s="90"/>
    </row>
    <row r="151" spans="2:16" s="4" customFormat="1" outlineLevel="1" x14ac:dyDescent="0.35">
      <c r="B151" s="18" t="s">
        <v>817</v>
      </c>
      <c r="C151" s="18" t="s">
        <v>818</v>
      </c>
      <c r="D151" s="40" t="s">
        <v>820</v>
      </c>
      <c r="E151" s="40" t="s">
        <v>821</v>
      </c>
      <c r="H151" s="18" t="s">
        <v>817</v>
      </c>
    </row>
    <row r="152" spans="2:16" s="4" customFormat="1" outlineLevel="1" x14ac:dyDescent="0.35">
      <c r="B152" s="69">
        <v>50200010</v>
      </c>
      <c r="C152" s="52" t="s">
        <v>822</v>
      </c>
      <c r="D152" s="70" t="s">
        <v>268</v>
      </c>
      <c r="E152" s="70" t="s">
        <v>824</v>
      </c>
      <c r="H152" s="90">
        <f t="shared" ref="H152:H215" si="11">B152</f>
        <v>50200010</v>
      </c>
    </row>
    <row r="153" spans="2:16" s="4" customFormat="1" outlineLevel="1" x14ac:dyDescent="0.35">
      <c r="B153" s="69">
        <v>50300010</v>
      </c>
      <c r="C153" s="52" t="s">
        <v>33</v>
      </c>
      <c r="D153" s="71" t="s">
        <v>269</v>
      </c>
      <c r="E153" s="71" t="s">
        <v>34</v>
      </c>
      <c r="H153" s="90">
        <f t="shared" si="11"/>
        <v>50300010</v>
      </c>
    </row>
    <row r="154" spans="2:16" s="4" customFormat="1" outlineLevel="1" x14ac:dyDescent="0.35">
      <c r="B154" s="69">
        <v>50300020</v>
      </c>
      <c r="C154" s="52" t="s">
        <v>35</v>
      </c>
      <c r="D154" s="52" t="s">
        <v>269</v>
      </c>
      <c r="E154" s="71" t="s">
        <v>34</v>
      </c>
      <c r="H154" s="90">
        <f t="shared" si="11"/>
        <v>50300020</v>
      </c>
    </row>
    <row r="155" spans="2:16" s="4" customFormat="1" outlineLevel="1" x14ac:dyDescent="0.35">
      <c r="B155" s="69">
        <v>50300030</v>
      </c>
      <c r="C155" s="52" t="s">
        <v>36</v>
      </c>
      <c r="D155" s="52" t="s">
        <v>269</v>
      </c>
      <c r="E155" s="71" t="s">
        <v>34</v>
      </c>
      <c r="H155" s="90">
        <f t="shared" si="11"/>
        <v>50300030</v>
      </c>
    </row>
    <row r="156" spans="2:16" s="4" customFormat="1" outlineLevel="1" x14ac:dyDescent="0.35">
      <c r="B156" s="69">
        <v>50300040</v>
      </c>
      <c r="C156" s="52" t="s">
        <v>37</v>
      </c>
      <c r="D156" s="52" t="s">
        <v>269</v>
      </c>
      <c r="E156" s="71" t="s">
        <v>34</v>
      </c>
      <c r="H156" s="90">
        <f t="shared" si="11"/>
        <v>50300040</v>
      </c>
    </row>
    <row r="157" spans="2:16" s="4" customFormat="1" outlineLevel="1" x14ac:dyDescent="0.35">
      <c r="B157" s="69">
        <v>50300050</v>
      </c>
      <c r="C157" s="52" t="s">
        <v>38</v>
      </c>
      <c r="D157" s="52" t="s">
        <v>269</v>
      </c>
      <c r="E157" s="71" t="s">
        <v>34</v>
      </c>
      <c r="H157" s="90">
        <f t="shared" si="11"/>
        <v>50300050</v>
      </c>
    </row>
    <row r="158" spans="2:16" s="4" customFormat="1" outlineLevel="1" x14ac:dyDescent="0.35">
      <c r="B158" s="69">
        <v>50300060</v>
      </c>
      <c r="C158" s="52" t="s">
        <v>830</v>
      </c>
      <c r="D158" s="52" t="s">
        <v>269</v>
      </c>
      <c r="E158" s="71" t="s">
        <v>34</v>
      </c>
      <c r="H158" s="90">
        <f t="shared" si="11"/>
        <v>50300060</v>
      </c>
    </row>
    <row r="159" spans="2:16" s="4" customFormat="1" outlineLevel="1" x14ac:dyDescent="0.35">
      <c r="B159" s="69">
        <v>50300070</v>
      </c>
      <c r="C159" s="52" t="s">
        <v>313</v>
      </c>
      <c r="D159" s="56" t="s">
        <v>269</v>
      </c>
      <c r="E159" s="71" t="s">
        <v>34</v>
      </c>
      <c r="H159" s="90">
        <f t="shared" si="11"/>
        <v>50300070</v>
      </c>
    </row>
    <row r="160" spans="2:16" s="4" customFormat="1" outlineLevel="1" x14ac:dyDescent="0.35">
      <c r="B160" s="69">
        <v>50300080</v>
      </c>
      <c r="C160" s="52" t="s">
        <v>39</v>
      </c>
      <c r="D160" s="56" t="s">
        <v>269</v>
      </c>
      <c r="E160" s="71" t="s">
        <v>34</v>
      </c>
      <c r="H160" s="90">
        <f t="shared" si="11"/>
        <v>50300080</v>
      </c>
    </row>
    <row r="161" spans="2:8" s="4" customFormat="1" outlineLevel="1" x14ac:dyDescent="0.35">
      <c r="B161" s="69">
        <v>50300090</v>
      </c>
      <c r="C161" s="52" t="s">
        <v>40</v>
      </c>
      <c r="D161" s="56" t="s">
        <v>269</v>
      </c>
      <c r="E161" s="71" t="s">
        <v>34</v>
      </c>
      <c r="H161" s="90">
        <f t="shared" si="11"/>
        <v>50300090</v>
      </c>
    </row>
    <row r="162" spans="2:8" s="4" customFormat="1" outlineLevel="1" x14ac:dyDescent="0.35">
      <c r="B162" s="69">
        <v>50300100</v>
      </c>
      <c r="C162" s="52" t="s">
        <v>41</v>
      </c>
      <c r="D162" s="56" t="s">
        <v>269</v>
      </c>
      <c r="E162" s="71" t="s">
        <v>34</v>
      </c>
      <c r="H162" s="90">
        <f t="shared" si="11"/>
        <v>50300100</v>
      </c>
    </row>
    <row r="163" spans="2:8" s="4" customFormat="1" outlineLevel="1" x14ac:dyDescent="0.35">
      <c r="B163" s="69">
        <v>50300110</v>
      </c>
      <c r="C163" s="52" t="s">
        <v>836</v>
      </c>
      <c r="D163" s="56" t="s">
        <v>269</v>
      </c>
      <c r="E163" s="71" t="s">
        <v>34</v>
      </c>
      <c r="H163" s="90">
        <f t="shared" si="11"/>
        <v>50300110</v>
      </c>
    </row>
    <row r="164" spans="2:8" s="4" customFormat="1" outlineLevel="1" x14ac:dyDescent="0.35">
      <c r="B164" s="69">
        <v>50300120</v>
      </c>
      <c r="C164" s="52" t="s">
        <v>838</v>
      </c>
      <c r="D164" s="56" t="s">
        <v>269</v>
      </c>
      <c r="E164" s="71" t="s">
        <v>34</v>
      </c>
      <c r="H164" s="90">
        <f t="shared" si="11"/>
        <v>50300120</v>
      </c>
    </row>
    <row r="165" spans="2:8" s="4" customFormat="1" outlineLevel="1" x14ac:dyDescent="0.35">
      <c r="B165" s="69">
        <v>50300990</v>
      </c>
      <c r="C165" s="52" t="s">
        <v>42</v>
      </c>
      <c r="D165" s="56" t="s">
        <v>269</v>
      </c>
      <c r="E165" s="71" t="s">
        <v>34</v>
      </c>
      <c r="H165" s="90">
        <f t="shared" si="11"/>
        <v>50300990</v>
      </c>
    </row>
    <row r="166" spans="2:8" s="4" customFormat="1" ht="29" outlineLevel="1" x14ac:dyDescent="0.35">
      <c r="B166" s="69">
        <v>50400010</v>
      </c>
      <c r="C166" s="52" t="s">
        <v>841</v>
      </c>
      <c r="D166" s="56" t="s">
        <v>270</v>
      </c>
      <c r="E166" s="71" t="s">
        <v>34</v>
      </c>
      <c r="H166" s="90">
        <f t="shared" si="11"/>
        <v>50400010</v>
      </c>
    </row>
    <row r="167" spans="2:8" s="4" customFormat="1" outlineLevel="1" x14ac:dyDescent="0.35">
      <c r="B167" s="69">
        <v>50500010</v>
      </c>
      <c r="C167" s="52" t="s">
        <v>843</v>
      </c>
      <c r="D167" s="56" t="s">
        <v>271</v>
      </c>
      <c r="E167" s="70" t="s">
        <v>824</v>
      </c>
      <c r="H167" s="90">
        <f t="shared" si="11"/>
        <v>50500010</v>
      </c>
    </row>
    <row r="168" spans="2:8" s="4" customFormat="1" outlineLevel="1" x14ac:dyDescent="0.35">
      <c r="B168" s="69">
        <v>50500020</v>
      </c>
      <c r="C168" s="52" t="s">
        <v>314</v>
      </c>
      <c r="D168" s="56" t="s">
        <v>271</v>
      </c>
      <c r="E168" s="70" t="s">
        <v>824</v>
      </c>
      <c r="H168" s="90">
        <f t="shared" si="11"/>
        <v>50500020</v>
      </c>
    </row>
    <row r="169" spans="2:8" s="4" customFormat="1" outlineLevel="1" x14ac:dyDescent="0.35">
      <c r="B169" s="69">
        <v>50500030</v>
      </c>
      <c r="C169" s="52" t="s">
        <v>846</v>
      </c>
      <c r="D169" s="56" t="s">
        <v>271</v>
      </c>
      <c r="E169" s="70" t="s">
        <v>824</v>
      </c>
      <c r="H169" s="90">
        <f t="shared" si="11"/>
        <v>50500030</v>
      </c>
    </row>
    <row r="170" spans="2:8" s="4" customFormat="1" outlineLevel="1" x14ac:dyDescent="0.35">
      <c r="B170" s="69">
        <v>50500040</v>
      </c>
      <c r="C170" s="52" t="s">
        <v>60</v>
      </c>
      <c r="D170" s="56" t="s">
        <v>271</v>
      </c>
      <c r="E170" s="70" t="s">
        <v>824</v>
      </c>
      <c r="H170" s="90">
        <f t="shared" si="11"/>
        <v>50500040</v>
      </c>
    </row>
    <row r="171" spans="2:8" s="4" customFormat="1" outlineLevel="1" x14ac:dyDescent="0.35">
      <c r="B171" s="69">
        <v>50600010</v>
      </c>
      <c r="C171" s="52" t="s">
        <v>231</v>
      </c>
      <c r="D171" s="56" t="s">
        <v>272</v>
      </c>
      <c r="E171" s="70" t="s">
        <v>824</v>
      </c>
      <c r="H171" s="90">
        <f t="shared" si="11"/>
        <v>50600010</v>
      </c>
    </row>
    <row r="172" spans="2:8" s="4" customFormat="1" outlineLevel="1" x14ac:dyDescent="0.35">
      <c r="B172" s="69">
        <v>50600020</v>
      </c>
      <c r="C172" s="52" t="s">
        <v>232</v>
      </c>
      <c r="D172" s="56" t="s">
        <v>272</v>
      </c>
      <c r="E172" s="70" t="s">
        <v>824</v>
      </c>
      <c r="H172" s="90">
        <f t="shared" si="11"/>
        <v>50600020</v>
      </c>
    </row>
    <row r="173" spans="2:8" s="4" customFormat="1" outlineLevel="1" x14ac:dyDescent="0.35">
      <c r="B173" s="69">
        <v>50600030</v>
      </c>
      <c r="C173" s="52" t="s">
        <v>850</v>
      </c>
      <c r="D173" s="56" t="s">
        <v>272</v>
      </c>
      <c r="E173" s="70" t="s">
        <v>824</v>
      </c>
      <c r="H173" s="90">
        <f t="shared" si="11"/>
        <v>50600030</v>
      </c>
    </row>
    <row r="174" spans="2:8" s="4" customFormat="1" ht="29" outlineLevel="1" x14ac:dyDescent="0.35">
      <c r="B174" s="69">
        <v>50600040</v>
      </c>
      <c r="C174" s="52" t="s">
        <v>234</v>
      </c>
      <c r="D174" s="56" t="s">
        <v>272</v>
      </c>
      <c r="E174" s="70" t="s">
        <v>824</v>
      </c>
      <c r="H174" s="90">
        <f t="shared" si="11"/>
        <v>50600040</v>
      </c>
    </row>
    <row r="175" spans="2:8" s="4" customFormat="1" outlineLevel="1" x14ac:dyDescent="0.35">
      <c r="B175" s="69">
        <v>50800010</v>
      </c>
      <c r="C175" s="52" t="s">
        <v>853</v>
      </c>
      <c r="D175" s="56" t="s">
        <v>273</v>
      </c>
      <c r="E175" s="70" t="s">
        <v>824</v>
      </c>
      <c r="H175" s="90">
        <f t="shared" si="11"/>
        <v>50800010</v>
      </c>
    </row>
    <row r="176" spans="2:8" s="4" customFormat="1" outlineLevel="1" x14ac:dyDescent="0.35">
      <c r="B176" s="69">
        <v>50800020</v>
      </c>
      <c r="C176" s="52" t="s">
        <v>64</v>
      </c>
      <c r="D176" s="56" t="s">
        <v>273</v>
      </c>
      <c r="E176" s="70" t="s">
        <v>824</v>
      </c>
      <c r="H176" s="90">
        <f t="shared" si="11"/>
        <v>50800020</v>
      </c>
    </row>
    <row r="177" spans="2:8" s="4" customFormat="1" outlineLevel="1" x14ac:dyDescent="0.35">
      <c r="B177" s="69">
        <v>50800030</v>
      </c>
      <c r="C177" s="52" t="s">
        <v>65</v>
      </c>
      <c r="D177" s="56" t="s">
        <v>273</v>
      </c>
      <c r="E177" s="70" t="s">
        <v>824</v>
      </c>
      <c r="H177" s="90">
        <f t="shared" si="11"/>
        <v>50800030</v>
      </c>
    </row>
    <row r="178" spans="2:8" s="4" customFormat="1" outlineLevel="1" x14ac:dyDescent="0.35">
      <c r="B178" s="69">
        <v>50800040</v>
      </c>
      <c r="C178" s="52" t="s">
        <v>66</v>
      </c>
      <c r="D178" s="56" t="s">
        <v>273</v>
      </c>
      <c r="E178" s="70" t="s">
        <v>824</v>
      </c>
      <c r="H178" s="90">
        <f t="shared" si="11"/>
        <v>50800040</v>
      </c>
    </row>
    <row r="179" spans="2:8" s="4" customFormat="1" outlineLevel="1" x14ac:dyDescent="0.35">
      <c r="B179" s="69">
        <v>50800050</v>
      </c>
      <c r="C179" s="52" t="s">
        <v>67</v>
      </c>
      <c r="D179" s="56" t="s">
        <v>273</v>
      </c>
      <c r="E179" s="70" t="s">
        <v>824</v>
      </c>
      <c r="H179" s="90">
        <f t="shared" si="11"/>
        <v>50800050</v>
      </c>
    </row>
    <row r="180" spans="2:8" s="4" customFormat="1" outlineLevel="1" x14ac:dyDescent="0.35">
      <c r="B180" s="69">
        <v>50800060</v>
      </c>
      <c r="C180" s="52" t="s">
        <v>68</v>
      </c>
      <c r="D180" s="56" t="s">
        <v>273</v>
      </c>
      <c r="E180" s="70" t="s">
        <v>824</v>
      </c>
      <c r="H180" s="90">
        <f t="shared" si="11"/>
        <v>50800060</v>
      </c>
    </row>
    <row r="181" spans="2:8" s="4" customFormat="1" outlineLevel="1" x14ac:dyDescent="0.35">
      <c r="B181" s="69">
        <v>50800070</v>
      </c>
      <c r="C181" s="52" t="s">
        <v>69</v>
      </c>
      <c r="D181" s="56" t="s">
        <v>273</v>
      </c>
      <c r="E181" s="70" t="s">
        <v>824</v>
      </c>
      <c r="H181" s="90">
        <f t="shared" si="11"/>
        <v>50800070</v>
      </c>
    </row>
    <row r="182" spans="2:8" s="4" customFormat="1" outlineLevel="1" x14ac:dyDescent="0.35">
      <c r="B182" s="69">
        <v>51100000</v>
      </c>
      <c r="C182" s="52" t="s">
        <v>235</v>
      </c>
      <c r="D182" s="56" t="s">
        <v>274</v>
      </c>
      <c r="E182" s="70" t="s">
        <v>824</v>
      </c>
      <c r="H182" s="90">
        <f t="shared" si="11"/>
        <v>51100000</v>
      </c>
    </row>
    <row r="183" spans="2:8" s="4" customFormat="1" outlineLevel="1" x14ac:dyDescent="0.35">
      <c r="B183" s="69">
        <v>51300010</v>
      </c>
      <c r="C183" s="52" t="s">
        <v>245</v>
      </c>
      <c r="D183" s="56" t="s">
        <v>276</v>
      </c>
      <c r="E183" s="56" t="s">
        <v>139</v>
      </c>
      <c r="H183" s="90">
        <f t="shared" si="11"/>
        <v>51300010</v>
      </c>
    </row>
    <row r="184" spans="2:8" s="4" customFormat="1" outlineLevel="1" x14ac:dyDescent="0.35">
      <c r="B184" s="69">
        <v>51300040</v>
      </c>
      <c r="C184" s="52" t="s">
        <v>248</v>
      </c>
      <c r="D184" s="56" t="s">
        <v>276</v>
      </c>
      <c r="E184" s="56" t="s">
        <v>139</v>
      </c>
      <c r="H184" s="90">
        <f t="shared" si="11"/>
        <v>51300040</v>
      </c>
    </row>
    <row r="185" spans="2:8" s="4" customFormat="1" outlineLevel="1" x14ac:dyDescent="0.35">
      <c r="B185" s="69">
        <v>51300050</v>
      </c>
      <c r="C185" s="52" t="s">
        <v>249</v>
      </c>
      <c r="D185" s="56" t="s">
        <v>276</v>
      </c>
      <c r="E185" s="56" t="s">
        <v>139</v>
      </c>
      <c r="H185" s="90">
        <f t="shared" si="11"/>
        <v>51300050</v>
      </c>
    </row>
    <row r="186" spans="2:8" s="4" customFormat="1" outlineLevel="1" x14ac:dyDescent="0.35">
      <c r="B186" s="69">
        <v>51300060</v>
      </c>
      <c r="C186" s="52" t="s">
        <v>250</v>
      </c>
      <c r="D186" s="56" t="s">
        <v>276</v>
      </c>
      <c r="E186" s="56" t="s">
        <v>139</v>
      </c>
      <c r="H186" s="90">
        <f t="shared" si="11"/>
        <v>51300060</v>
      </c>
    </row>
    <row r="187" spans="2:8" s="4" customFormat="1" outlineLevel="1" x14ac:dyDescent="0.35">
      <c r="B187" s="69">
        <v>51300090</v>
      </c>
      <c r="C187" s="52" t="s">
        <v>253</v>
      </c>
      <c r="D187" s="56" t="s">
        <v>276</v>
      </c>
      <c r="E187" s="56" t="s">
        <v>139</v>
      </c>
      <c r="H187" s="90">
        <f t="shared" si="11"/>
        <v>51300090</v>
      </c>
    </row>
    <row r="188" spans="2:8" s="4" customFormat="1" outlineLevel="1" x14ac:dyDescent="0.35">
      <c r="B188" s="69">
        <v>51500010</v>
      </c>
      <c r="C188" s="52" t="s">
        <v>867</v>
      </c>
      <c r="D188" s="56" t="s">
        <v>278</v>
      </c>
      <c r="E188" s="70" t="s">
        <v>824</v>
      </c>
      <c r="H188" s="90">
        <f t="shared" si="11"/>
        <v>51500010</v>
      </c>
    </row>
    <row r="189" spans="2:8" s="4" customFormat="1" outlineLevel="1" x14ac:dyDescent="0.35">
      <c r="B189" s="69">
        <v>51600010</v>
      </c>
      <c r="C189" s="52" t="s">
        <v>74</v>
      </c>
      <c r="D189" s="56" t="s">
        <v>279</v>
      </c>
      <c r="E189" s="70" t="s">
        <v>824</v>
      </c>
      <c r="H189" s="90">
        <f t="shared" si="11"/>
        <v>51600010</v>
      </c>
    </row>
    <row r="190" spans="2:8" s="4" customFormat="1" outlineLevel="1" x14ac:dyDescent="0.35">
      <c r="B190" s="69">
        <v>51600020</v>
      </c>
      <c r="C190" s="52" t="s">
        <v>75</v>
      </c>
      <c r="D190" s="56" t="s">
        <v>279</v>
      </c>
      <c r="E190" s="70" t="s">
        <v>824</v>
      </c>
      <c r="H190" s="90">
        <f t="shared" si="11"/>
        <v>51600020</v>
      </c>
    </row>
    <row r="191" spans="2:8" s="4" customFormat="1" outlineLevel="1" x14ac:dyDescent="0.35">
      <c r="B191" s="69">
        <v>51600030</v>
      </c>
      <c r="C191" s="52" t="s">
        <v>76</v>
      </c>
      <c r="D191" s="56" t="s">
        <v>279</v>
      </c>
      <c r="E191" s="70" t="s">
        <v>824</v>
      </c>
      <c r="H191" s="90">
        <f t="shared" si="11"/>
        <v>51600030</v>
      </c>
    </row>
    <row r="192" spans="2:8" s="4" customFormat="1" ht="29" outlineLevel="1" x14ac:dyDescent="0.35">
      <c r="B192" s="69">
        <v>51600040</v>
      </c>
      <c r="C192" s="52" t="s">
        <v>77</v>
      </c>
      <c r="D192" s="56" t="s">
        <v>279</v>
      </c>
      <c r="E192" s="70" t="s">
        <v>824</v>
      </c>
      <c r="H192" s="90">
        <f t="shared" si="11"/>
        <v>51600040</v>
      </c>
    </row>
    <row r="193" spans="2:8" s="4" customFormat="1" outlineLevel="1" x14ac:dyDescent="0.35">
      <c r="B193" s="69">
        <v>51600050</v>
      </c>
      <c r="C193" s="52" t="s">
        <v>256</v>
      </c>
      <c r="D193" s="56" t="s">
        <v>279</v>
      </c>
      <c r="E193" s="70" t="s">
        <v>824</v>
      </c>
      <c r="H193" s="90">
        <f t="shared" si="11"/>
        <v>51600050</v>
      </c>
    </row>
    <row r="194" spans="2:8" s="4" customFormat="1" outlineLevel="1" x14ac:dyDescent="0.35">
      <c r="B194" s="69">
        <v>51600070</v>
      </c>
      <c r="C194" s="52" t="s">
        <v>78</v>
      </c>
      <c r="D194" s="56" t="s">
        <v>279</v>
      </c>
      <c r="E194" s="70" t="s">
        <v>824</v>
      </c>
      <c r="H194" s="90">
        <f t="shared" si="11"/>
        <v>51600070</v>
      </c>
    </row>
    <row r="195" spans="2:8" s="4" customFormat="1" outlineLevel="1" x14ac:dyDescent="0.35">
      <c r="B195" s="69">
        <v>51700010</v>
      </c>
      <c r="C195" s="52" t="s">
        <v>79</v>
      </c>
      <c r="D195" s="56" t="s">
        <v>280</v>
      </c>
      <c r="E195" s="70" t="s">
        <v>824</v>
      </c>
      <c r="H195" s="90">
        <f t="shared" si="11"/>
        <v>51700010</v>
      </c>
    </row>
    <row r="196" spans="2:8" s="4" customFormat="1" outlineLevel="1" x14ac:dyDescent="0.35">
      <c r="B196" s="69">
        <v>51700030</v>
      </c>
      <c r="C196" s="52" t="s">
        <v>80</v>
      </c>
      <c r="D196" s="56" t="s">
        <v>280</v>
      </c>
      <c r="E196" s="70" t="s">
        <v>824</v>
      </c>
      <c r="H196" s="90">
        <f t="shared" si="11"/>
        <v>51700030</v>
      </c>
    </row>
    <row r="197" spans="2:8" s="4" customFormat="1" outlineLevel="1" x14ac:dyDescent="0.35">
      <c r="B197" s="69">
        <v>51700040</v>
      </c>
      <c r="C197" s="52" t="s">
        <v>81</v>
      </c>
      <c r="D197" s="56" t="s">
        <v>280</v>
      </c>
      <c r="E197" s="70" t="s">
        <v>824</v>
      </c>
      <c r="H197" s="90">
        <f t="shared" si="11"/>
        <v>51700040</v>
      </c>
    </row>
    <row r="198" spans="2:8" s="4" customFormat="1" outlineLevel="1" x14ac:dyDescent="0.35">
      <c r="B198" s="69">
        <v>51700050</v>
      </c>
      <c r="C198" s="52" t="s">
        <v>82</v>
      </c>
      <c r="D198" s="56" t="s">
        <v>280</v>
      </c>
      <c r="E198" s="70" t="s">
        <v>824</v>
      </c>
      <c r="H198" s="90">
        <f t="shared" si="11"/>
        <v>51700050</v>
      </c>
    </row>
    <row r="199" spans="2:8" s="4" customFormat="1" outlineLevel="1" x14ac:dyDescent="0.35">
      <c r="B199" s="69">
        <v>51700060</v>
      </c>
      <c r="C199" s="52" t="s">
        <v>83</v>
      </c>
      <c r="D199" s="56" t="s">
        <v>280</v>
      </c>
      <c r="E199" s="70" t="s">
        <v>824</v>
      </c>
      <c r="H199" s="90">
        <f t="shared" si="11"/>
        <v>51700060</v>
      </c>
    </row>
    <row r="200" spans="2:8" s="4" customFormat="1" outlineLevel="1" x14ac:dyDescent="0.35">
      <c r="B200" s="69">
        <v>51700070</v>
      </c>
      <c r="C200" s="52" t="s">
        <v>84</v>
      </c>
      <c r="D200" s="56" t="s">
        <v>280</v>
      </c>
      <c r="E200" s="70" t="s">
        <v>824</v>
      </c>
      <c r="H200" s="90">
        <f t="shared" si="11"/>
        <v>51700070</v>
      </c>
    </row>
    <row r="201" spans="2:8" s="4" customFormat="1" ht="29" outlineLevel="1" x14ac:dyDescent="0.35">
      <c r="B201" s="69">
        <v>51800010</v>
      </c>
      <c r="C201" s="52" t="s">
        <v>85</v>
      </c>
      <c r="D201" s="56" t="s">
        <v>281</v>
      </c>
      <c r="E201" s="70" t="s">
        <v>824</v>
      </c>
      <c r="H201" s="90">
        <f t="shared" si="11"/>
        <v>51800010</v>
      </c>
    </row>
    <row r="202" spans="2:8" s="4" customFormat="1" outlineLevel="1" x14ac:dyDescent="0.35">
      <c r="B202" s="69">
        <v>51800020</v>
      </c>
      <c r="C202" s="52" t="s">
        <v>86</v>
      </c>
      <c r="D202" s="56" t="s">
        <v>281</v>
      </c>
      <c r="E202" s="70" t="s">
        <v>824</v>
      </c>
      <c r="H202" s="90">
        <f t="shared" si="11"/>
        <v>51800020</v>
      </c>
    </row>
    <row r="203" spans="2:8" s="4" customFormat="1" outlineLevel="1" x14ac:dyDescent="0.35">
      <c r="B203" s="69">
        <v>51800030</v>
      </c>
      <c r="C203" s="52" t="s">
        <v>87</v>
      </c>
      <c r="D203" s="56" t="s">
        <v>281</v>
      </c>
      <c r="E203" s="70" t="s">
        <v>824</v>
      </c>
      <c r="H203" s="90">
        <f t="shared" si="11"/>
        <v>51800030</v>
      </c>
    </row>
    <row r="204" spans="2:8" s="4" customFormat="1" outlineLevel="1" x14ac:dyDescent="0.35">
      <c r="B204" s="69">
        <v>51800090</v>
      </c>
      <c r="C204" s="52" t="s">
        <v>88</v>
      </c>
      <c r="D204" s="56" t="s">
        <v>281</v>
      </c>
      <c r="E204" s="70" t="s">
        <v>824</v>
      </c>
      <c r="H204" s="90">
        <f t="shared" si="11"/>
        <v>51800090</v>
      </c>
    </row>
    <row r="205" spans="2:8" s="4" customFormat="1" outlineLevel="1" x14ac:dyDescent="0.35">
      <c r="B205" s="69">
        <v>51900010</v>
      </c>
      <c r="C205" s="52" t="s">
        <v>89</v>
      </c>
      <c r="D205" s="56" t="s">
        <v>230</v>
      </c>
      <c r="E205" s="70" t="s">
        <v>824</v>
      </c>
      <c r="H205" s="90">
        <f t="shared" si="11"/>
        <v>51900010</v>
      </c>
    </row>
    <row r="206" spans="2:8" s="4" customFormat="1" outlineLevel="1" x14ac:dyDescent="0.35">
      <c r="B206" s="69">
        <v>51900020</v>
      </c>
      <c r="C206" s="52" t="s">
        <v>91</v>
      </c>
      <c r="D206" s="56" t="s">
        <v>230</v>
      </c>
      <c r="E206" s="70" t="s">
        <v>824</v>
      </c>
      <c r="H206" s="90">
        <f t="shared" si="11"/>
        <v>51900020</v>
      </c>
    </row>
    <row r="207" spans="2:8" s="4" customFormat="1" outlineLevel="1" x14ac:dyDescent="0.35">
      <c r="B207" s="69">
        <v>51900030</v>
      </c>
      <c r="C207" s="52" t="s">
        <v>92</v>
      </c>
      <c r="D207" s="56" t="s">
        <v>230</v>
      </c>
      <c r="E207" s="70" t="s">
        <v>824</v>
      </c>
      <c r="H207" s="90">
        <f t="shared" si="11"/>
        <v>51900030</v>
      </c>
    </row>
    <row r="208" spans="2:8" s="4" customFormat="1" outlineLevel="1" x14ac:dyDescent="0.35">
      <c r="B208" s="69">
        <v>51900040</v>
      </c>
      <c r="C208" s="52" t="s">
        <v>93</v>
      </c>
      <c r="D208" s="56" t="s">
        <v>230</v>
      </c>
      <c r="E208" s="70" t="s">
        <v>824</v>
      </c>
      <c r="H208" s="90">
        <f t="shared" si="11"/>
        <v>51900040</v>
      </c>
    </row>
    <row r="209" spans="2:8" s="4" customFormat="1" outlineLevel="1" x14ac:dyDescent="0.35">
      <c r="B209" s="69">
        <v>51900090</v>
      </c>
      <c r="C209" s="52" t="s">
        <v>94</v>
      </c>
      <c r="D209" s="56" t="s">
        <v>230</v>
      </c>
      <c r="E209" s="70" t="s">
        <v>824</v>
      </c>
      <c r="H209" s="90">
        <f t="shared" si="11"/>
        <v>51900090</v>
      </c>
    </row>
    <row r="210" spans="2:8" s="4" customFormat="1" outlineLevel="1" x14ac:dyDescent="0.35">
      <c r="B210" s="69">
        <v>52100010</v>
      </c>
      <c r="C210" s="52" t="s">
        <v>98</v>
      </c>
      <c r="D210" s="56" t="s">
        <v>283</v>
      </c>
      <c r="E210" s="70" t="s">
        <v>824</v>
      </c>
      <c r="H210" s="90">
        <f t="shared" si="11"/>
        <v>52100010</v>
      </c>
    </row>
    <row r="211" spans="2:8" s="4" customFormat="1" outlineLevel="1" x14ac:dyDescent="0.35">
      <c r="B211" s="69">
        <v>52100020</v>
      </c>
      <c r="C211" s="52" t="s">
        <v>100</v>
      </c>
      <c r="D211" s="56" t="s">
        <v>283</v>
      </c>
      <c r="E211" s="70" t="s">
        <v>824</v>
      </c>
      <c r="H211" s="90">
        <f t="shared" si="11"/>
        <v>52100020</v>
      </c>
    </row>
    <row r="212" spans="2:8" s="4" customFormat="1" outlineLevel="1" x14ac:dyDescent="0.35">
      <c r="B212" s="69">
        <v>52100030</v>
      </c>
      <c r="C212" s="52" t="s">
        <v>101</v>
      </c>
      <c r="D212" s="56" t="s">
        <v>283</v>
      </c>
      <c r="E212" s="70" t="s">
        <v>824</v>
      </c>
      <c r="H212" s="90">
        <f t="shared" si="11"/>
        <v>52100030</v>
      </c>
    </row>
    <row r="213" spans="2:8" s="4" customFormat="1" outlineLevel="1" x14ac:dyDescent="0.35">
      <c r="B213" s="69">
        <v>52100040</v>
      </c>
      <c r="C213" s="52" t="s">
        <v>103</v>
      </c>
      <c r="D213" s="56" t="s">
        <v>283</v>
      </c>
      <c r="E213" s="70" t="s">
        <v>824</v>
      </c>
      <c r="H213" s="90">
        <f t="shared" si="11"/>
        <v>52100040</v>
      </c>
    </row>
    <row r="214" spans="2:8" s="4" customFormat="1" outlineLevel="1" x14ac:dyDescent="0.35">
      <c r="B214" s="69">
        <v>52100050</v>
      </c>
      <c r="C214" s="52" t="s">
        <v>105</v>
      </c>
      <c r="D214" s="56" t="s">
        <v>283</v>
      </c>
      <c r="E214" s="70" t="s">
        <v>824</v>
      </c>
      <c r="H214" s="90">
        <f t="shared" si="11"/>
        <v>52100050</v>
      </c>
    </row>
    <row r="215" spans="2:8" s="4" customFormat="1" outlineLevel="1" x14ac:dyDescent="0.35">
      <c r="B215" s="69">
        <v>52200010</v>
      </c>
      <c r="C215" s="52" t="s">
        <v>106</v>
      </c>
      <c r="D215" s="56" t="s">
        <v>284</v>
      </c>
      <c r="E215" s="70" t="s">
        <v>824</v>
      </c>
      <c r="H215" s="90">
        <f t="shared" si="11"/>
        <v>52200010</v>
      </c>
    </row>
    <row r="216" spans="2:8" s="4" customFormat="1" outlineLevel="1" x14ac:dyDescent="0.35">
      <c r="B216" s="69">
        <v>52200020</v>
      </c>
      <c r="C216" s="52" t="s">
        <v>108</v>
      </c>
      <c r="D216" s="56" t="s">
        <v>284</v>
      </c>
      <c r="E216" s="70" t="s">
        <v>824</v>
      </c>
      <c r="H216" s="90">
        <f t="shared" ref="H216:H227" si="12">B216</f>
        <v>52200020</v>
      </c>
    </row>
    <row r="217" spans="2:8" s="4" customFormat="1" outlineLevel="1" x14ac:dyDescent="0.35">
      <c r="B217" s="69">
        <v>52300010</v>
      </c>
      <c r="C217" s="52" t="s">
        <v>110</v>
      </c>
      <c r="D217" s="56" t="s">
        <v>285</v>
      </c>
      <c r="E217" s="70" t="s">
        <v>824</v>
      </c>
      <c r="H217" s="90">
        <f t="shared" si="12"/>
        <v>52300010</v>
      </c>
    </row>
    <row r="218" spans="2:8" s="4" customFormat="1" outlineLevel="1" x14ac:dyDescent="0.35">
      <c r="B218" s="69">
        <v>52300020</v>
      </c>
      <c r="C218" s="52" t="s">
        <v>112</v>
      </c>
      <c r="D218" s="56" t="s">
        <v>285</v>
      </c>
      <c r="E218" s="70" t="s">
        <v>824</v>
      </c>
      <c r="H218" s="90">
        <f t="shared" si="12"/>
        <v>52300020</v>
      </c>
    </row>
    <row r="219" spans="2:8" s="4" customFormat="1" outlineLevel="1" x14ac:dyDescent="0.35">
      <c r="B219" s="69">
        <v>52400030</v>
      </c>
      <c r="C219" s="52" t="s">
        <v>114</v>
      </c>
      <c r="D219" s="56" t="s">
        <v>286</v>
      </c>
      <c r="E219" s="70" t="s">
        <v>824</v>
      </c>
      <c r="H219" s="90">
        <f t="shared" si="12"/>
        <v>52400030</v>
      </c>
    </row>
    <row r="220" spans="2:8" s="4" customFormat="1" outlineLevel="1" x14ac:dyDescent="0.35">
      <c r="B220" s="69">
        <v>52400040</v>
      </c>
      <c r="C220" s="52" t="s">
        <v>116</v>
      </c>
      <c r="D220" s="56" t="s">
        <v>286</v>
      </c>
      <c r="E220" s="70" t="s">
        <v>824</v>
      </c>
      <c r="H220" s="90">
        <f t="shared" si="12"/>
        <v>52400040</v>
      </c>
    </row>
    <row r="221" spans="2:8" s="4" customFormat="1" outlineLevel="1" x14ac:dyDescent="0.35">
      <c r="B221" s="69">
        <v>52400060</v>
      </c>
      <c r="C221" s="52" t="s">
        <v>258</v>
      </c>
      <c r="D221" s="56" t="s">
        <v>286</v>
      </c>
      <c r="E221" s="70" t="s">
        <v>824</v>
      </c>
      <c r="H221" s="90">
        <f t="shared" si="12"/>
        <v>52400060</v>
      </c>
    </row>
    <row r="222" spans="2:8" s="4" customFormat="1" outlineLevel="1" x14ac:dyDescent="0.35">
      <c r="B222" s="69">
        <v>52500010</v>
      </c>
      <c r="C222" s="52" t="s">
        <v>117</v>
      </c>
      <c r="D222" s="56" t="s">
        <v>117</v>
      </c>
      <c r="E222" s="70" t="s">
        <v>824</v>
      </c>
      <c r="H222" s="90">
        <f t="shared" si="12"/>
        <v>52500010</v>
      </c>
    </row>
    <row r="223" spans="2:8" s="4" customFormat="1" outlineLevel="1" x14ac:dyDescent="0.35">
      <c r="B223" s="69">
        <v>52600020</v>
      </c>
      <c r="C223" s="52" t="s">
        <v>120</v>
      </c>
      <c r="D223" s="56" t="s">
        <v>287</v>
      </c>
      <c r="E223" s="70" t="s">
        <v>824</v>
      </c>
      <c r="H223" s="90">
        <f t="shared" si="12"/>
        <v>52600020</v>
      </c>
    </row>
    <row r="224" spans="2:8" s="4" customFormat="1" outlineLevel="1" x14ac:dyDescent="0.35">
      <c r="B224" s="69">
        <v>52600030</v>
      </c>
      <c r="C224" s="52" t="s">
        <v>121</v>
      </c>
      <c r="D224" s="56" t="s">
        <v>287</v>
      </c>
      <c r="E224" s="70" t="s">
        <v>824</v>
      </c>
      <c r="H224" s="90">
        <f t="shared" si="12"/>
        <v>52600030</v>
      </c>
    </row>
    <row r="225" spans="2:9" s="4" customFormat="1" outlineLevel="1" x14ac:dyDescent="0.35">
      <c r="B225" s="69">
        <v>52900010</v>
      </c>
      <c r="C225" s="52" t="s">
        <v>122</v>
      </c>
      <c r="D225" s="56" t="s">
        <v>288</v>
      </c>
      <c r="E225" s="70" t="s">
        <v>824</v>
      </c>
      <c r="H225" s="90">
        <f t="shared" si="12"/>
        <v>52900010</v>
      </c>
    </row>
    <row r="226" spans="2:9" s="4" customFormat="1" outlineLevel="1" x14ac:dyDescent="0.35">
      <c r="B226" s="69">
        <v>52900020</v>
      </c>
      <c r="C226" s="52" t="s">
        <v>124</v>
      </c>
      <c r="D226" s="56" t="s">
        <v>288</v>
      </c>
      <c r="E226" s="70" t="s">
        <v>824</v>
      </c>
      <c r="H226" s="90">
        <f t="shared" si="12"/>
        <v>52900020</v>
      </c>
    </row>
    <row r="227" spans="2:9" s="4" customFormat="1" outlineLevel="1" x14ac:dyDescent="0.35">
      <c r="B227" s="69">
        <v>53100010</v>
      </c>
      <c r="C227" s="52" t="s">
        <v>261</v>
      </c>
      <c r="D227" s="56" t="s">
        <v>261</v>
      </c>
      <c r="E227" s="70" t="s">
        <v>824</v>
      </c>
      <c r="H227" s="90">
        <f t="shared" si="12"/>
        <v>53100010</v>
      </c>
    </row>
    <row r="228" spans="2:9" s="4" customFormat="1" outlineLevel="1" x14ac:dyDescent="0.35">
      <c r="B228" s="72"/>
      <c r="C228" s="61"/>
      <c r="D228" s="62"/>
      <c r="E228" s="62"/>
      <c r="H228" s="90"/>
      <c r="I228" s="90"/>
    </row>
    <row r="229" spans="2:9" s="4" customFormat="1" outlineLevel="1" x14ac:dyDescent="0.35">
      <c r="H229" s="90"/>
      <c r="I229" s="90"/>
    </row>
    <row r="230" spans="2:9" s="4" customFormat="1" outlineLevel="1" x14ac:dyDescent="0.35">
      <c r="H230" s="90"/>
      <c r="I230" s="90"/>
    </row>
    <row r="231" spans="2:9" s="4" customFormat="1" x14ac:dyDescent="0.35">
      <c r="B231" s="38" t="s">
        <v>903</v>
      </c>
      <c r="H231" s="90"/>
      <c r="I231" s="90"/>
    </row>
    <row r="232" spans="2:9" s="4" customFormat="1" outlineLevel="1" x14ac:dyDescent="0.35">
      <c r="B232" s="18" t="s">
        <v>817</v>
      </c>
      <c r="C232" s="18" t="s">
        <v>818</v>
      </c>
      <c r="D232" s="40" t="s">
        <v>820</v>
      </c>
      <c r="E232" s="40" t="s">
        <v>821</v>
      </c>
      <c r="H232" s="18" t="s">
        <v>817</v>
      </c>
      <c r="I232" s="18" t="s">
        <v>294</v>
      </c>
    </row>
    <row r="233" spans="2:9" s="4" customFormat="1" outlineLevel="1" x14ac:dyDescent="0.35">
      <c r="B233" s="69">
        <v>60100010</v>
      </c>
      <c r="C233" s="52" t="s">
        <v>43</v>
      </c>
      <c r="D233" s="70" t="s">
        <v>290</v>
      </c>
      <c r="E233" s="70" t="s">
        <v>34</v>
      </c>
      <c r="H233" s="90">
        <f t="shared" ref="H233:H299" si="13">B233</f>
        <v>60100010</v>
      </c>
      <c r="I233" s="4" t="s">
        <v>295</v>
      </c>
    </row>
    <row r="234" spans="2:9" s="4" customFormat="1" outlineLevel="1" x14ac:dyDescent="0.35">
      <c r="B234" s="69">
        <v>60100020</v>
      </c>
      <c r="C234" s="52" t="s">
        <v>44</v>
      </c>
      <c r="D234" s="71" t="s">
        <v>290</v>
      </c>
      <c r="E234" s="71" t="s">
        <v>34</v>
      </c>
      <c r="H234" s="90">
        <f t="shared" si="13"/>
        <v>60100020</v>
      </c>
      <c r="I234" s="4" t="s">
        <v>295</v>
      </c>
    </row>
    <row r="235" spans="2:9" s="4" customFormat="1" outlineLevel="1" x14ac:dyDescent="0.35">
      <c r="B235" s="69">
        <v>60100030</v>
      </c>
      <c r="C235" s="52" t="s">
        <v>45</v>
      </c>
      <c r="D235" s="52" t="s">
        <v>290</v>
      </c>
      <c r="E235" s="71" t="s">
        <v>34</v>
      </c>
      <c r="H235" s="90">
        <f t="shared" si="13"/>
        <v>60100030</v>
      </c>
      <c r="I235" s="4" t="s">
        <v>295</v>
      </c>
    </row>
    <row r="236" spans="2:9" s="4" customFormat="1" outlineLevel="1" x14ac:dyDescent="0.35">
      <c r="B236" s="69">
        <v>60100040</v>
      </c>
      <c r="C236" s="52" t="s">
        <v>46</v>
      </c>
      <c r="D236" s="52" t="s">
        <v>290</v>
      </c>
      <c r="E236" s="71" t="s">
        <v>34</v>
      </c>
      <c r="H236" s="90">
        <f t="shared" si="13"/>
        <v>60100040</v>
      </c>
      <c r="I236" s="4" t="s">
        <v>295</v>
      </c>
    </row>
    <row r="237" spans="2:9" s="4" customFormat="1" outlineLevel="1" x14ac:dyDescent="0.35">
      <c r="B237" s="69">
        <v>60100050</v>
      </c>
      <c r="C237" s="52" t="s">
        <v>47</v>
      </c>
      <c r="D237" s="52" t="s">
        <v>290</v>
      </c>
      <c r="E237" s="71" t="s">
        <v>34</v>
      </c>
      <c r="H237" s="90">
        <f t="shared" si="13"/>
        <v>60100050</v>
      </c>
      <c r="I237" s="4" t="s">
        <v>295</v>
      </c>
    </row>
    <row r="238" spans="2:9" s="4" customFormat="1" outlineLevel="1" x14ac:dyDescent="0.35">
      <c r="B238" s="69">
        <v>60100060</v>
      </c>
      <c r="C238" s="52" t="s">
        <v>48</v>
      </c>
      <c r="D238" s="52" t="s">
        <v>290</v>
      </c>
      <c r="E238" s="71" t="s">
        <v>34</v>
      </c>
      <c r="H238" s="90">
        <f t="shared" si="13"/>
        <v>60100060</v>
      </c>
      <c r="I238" s="4" t="s">
        <v>295</v>
      </c>
    </row>
    <row r="239" spans="2:9" s="4" customFormat="1" outlineLevel="1" x14ac:dyDescent="0.35">
      <c r="B239" s="69">
        <v>60100070</v>
      </c>
      <c r="C239" s="52" t="s">
        <v>49</v>
      </c>
      <c r="D239" s="52" t="s">
        <v>290</v>
      </c>
      <c r="E239" s="71" t="s">
        <v>34</v>
      </c>
      <c r="H239" s="90">
        <f t="shared" si="13"/>
        <v>60100070</v>
      </c>
      <c r="I239" s="4" t="s">
        <v>295</v>
      </c>
    </row>
    <row r="240" spans="2:9" s="4" customFormat="1" outlineLevel="1" x14ac:dyDescent="0.35">
      <c r="B240" s="69">
        <v>60100080</v>
      </c>
      <c r="C240" s="52" t="s">
        <v>50</v>
      </c>
      <c r="D240" s="56" t="s">
        <v>290</v>
      </c>
      <c r="E240" s="71" t="s">
        <v>34</v>
      </c>
      <c r="H240" s="90">
        <f t="shared" si="13"/>
        <v>60100080</v>
      </c>
      <c r="I240" s="4" t="s">
        <v>295</v>
      </c>
    </row>
    <row r="241" spans="2:9" s="4" customFormat="1" outlineLevel="1" x14ac:dyDescent="0.35">
      <c r="B241" s="69">
        <v>60100090</v>
      </c>
      <c r="C241" s="52" t="s">
        <v>51</v>
      </c>
      <c r="D241" s="56" t="s">
        <v>290</v>
      </c>
      <c r="E241" s="71" t="s">
        <v>34</v>
      </c>
      <c r="H241" s="90">
        <f t="shared" si="13"/>
        <v>60100090</v>
      </c>
      <c r="I241" s="4" t="s">
        <v>295</v>
      </c>
    </row>
    <row r="242" spans="2:9" s="4" customFormat="1" outlineLevel="1" x14ac:dyDescent="0.35">
      <c r="B242" s="69">
        <v>60100100</v>
      </c>
      <c r="C242" s="52" t="s">
        <v>52</v>
      </c>
      <c r="D242" s="56" t="s">
        <v>290</v>
      </c>
      <c r="E242" s="71" t="s">
        <v>34</v>
      </c>
      <c r="H242" s="90">
        <f t="shared" si="13"/>
        <v>60100100</v>
      </c>
      <c r="I242" s="4" t="s">
        <v>295</v>
      </c>
    </row>
    <row r="243" spans="2:9" s="4" customFormat="1" outlineLevel="1" x14ac:dyDescent="0.35">
      <c r="B243" s="69">
        <v>60100110</v>
      </c>
      <c r="C243" s="52" t="s">
        <v>53</v>
      </c>
      <c r="D243" s="56" t="s">
        <v>290</v>
      </c>
      <c r="E243" s="71" t="s">
        <v>34</v>
      </c>
      <c r="H243" s="90">
        <f t="shared" si="13"/>
        <v>60100110</v>
      </c>
      <c r="I243" s="4" t="s">
        <v>295</v>
      </c>
    </row>
    <row r="244" spans="2:9" s="4" customFormat="1" outlineLevel="1" x14ac:dyDescent="0.35">
      <c r="B244" s="69">
        <v>60100120</v>
      </c>
      <c r="C244" s="52" t="s">
        <v>915</v>
      </c>
      <c r="D244" s="56" t="s">
        <v>290</v>
      </c>
      <c r="E244" s="71" t="s">
        <v>34</v>
      </c>
      <c r="H244" s="90">
        <f t="shared" si="13"/>
        <v>60100120</v>
      </c>
      <c r="I244" s="4" t="s">
        <v>295</v>
      </c>
    </row>
    <row r="245" spans="2:9" s="4" customFormat="1" outlineLevel="1" x14ac:dyDescent="0.35">
      <c r="B245" s="69">
        <v>60100990</v>
      </c>
      <c r="C245" s="52" t="s">
        <v>54</v>
      </c>
      <c r="D245" s="56" t="s">
        <v>290</v>
      </c>
      <c r="E245" s="71" t="s">
        <v>34</v>
      </c>
      <c r="H245" s="90">
        <f t="shared" si="13"/>
        <v>60100990</v>
      </c>
      <c r="I245" s="4" t="s">
        <v>295</v>
      </c>
    </row>
    <row r="246" spans="2:9" s="4" customFormat="1" outlineLevel="1" x14ac:dyDescent="0.35">
      <c r="B246" s="69">
        <v>60200010</v>
      </c>
      <c r="C246" s="52" t="s">
        <v>55</v>
      </c>
      <c r="D246" s="56" t="s">
        <v>270</v>
      </c>
      <c r="E246" s="71" t="s">
        <v>34</v>
      </c>
      <c r="H246" s="90">
        <f t="shared" si="13"/>
        <v>60200010</v>
      </c>
      <c r="I246" s="4" t="s">
        <v>297</v>
      </c>
    </row>
    <row r="247" spans="2:9" s="4" customFormat="1" outlineLevel="1" x14ac:dyDescent="0.35">
      <c r="B247" s="69">
        <v>60300010</v>
      </c>
      <c r="C247" s="52" t="s">
        <v>57</v>
      </c>
      <c r="D247" s="56" t="s">
        <v>291</v>
      </c>
      <c r="E247" s="71" t="s">
        <v>34</v>
      </c>
      <c r="H247" s="90">
        <f t="shared" si="13"/>
        <v>60300010</v>
      </c>
      <c r="I247" s="4" t="s">
        <v>271</v>
      </c>
    </row>
    <row r="248" spans="2:9" s="4" customFormat="1" outlineLevel="1" x14ac:dyDescent="0.35">
      <c r="B248" s="69">
        <v>60600010</v>
      </c>
      <c r="C248" s="52" t="s">
        <v>231</v>
      </c>
      <c r="D248" s="56" t="s">
        <v>272</v>
      </c>
      <c r="E248" s="70" t="s">
        <v>59</v>
      </c>
      <c r="H248" s="90">
        <f t="shared" si="13"/>
        <v>60600010</v>
      </c>
      <c r="I248" s="4" t="s">
        <v>272</v>
      </c>
    </row>
    <row r="249" spans="2:9" s="4" customFormat="1" outlineLevel="1" x14ac:dyDescent="0.35">
      <c r="B249" s="69">
        <v>60600020</v>
      </c>
      <c r="C249" s="52" t="s">
        <v>232</v>
      </c>
      <c r="D249" s="56" t="s">
        <v>272</v>
      </c>
      <c r="E249" s="70" t="s">
        <v>59</v>
      </c>
      <c r="H249" s="90">
        <f t="shared" si="13"/>
        <v>60600020</v>
      </c>
      <c r="I249" s="4" t="s">
        <v>272</v>
      </c>
    </row>
    <row r="250" spans="2:9" s="4" customFormat="1" outlineLevel="1" x14ac:dyDescent="0.35">
      <c r="B250" s="69">
        <v>60600030</v>
      </c>
      <c r="C250" s="52" t="s">
        <v>233</v>
      </c>
      <c r="D250" s="56" t="s">
        <v>272</v>
      </c>
      <c r="E250" s="70" t="s">
        <v>59</v>
      </c>
      <c r="H250" s="90">
        <f t="shared" si="13"/>
        <v>60600030</v>
      </c>
      <c r="I250" s="4" t="s">
        <v>272</v>
      </c>
    </row>
    <row r="251" spans="2:9" s="4" customFormat="1" outlineLevel="1" x14ac:dyDescent="0.35">
      <c r="B251" s="69">
        <v>60600050</v>
      </c>
      <c r="C251" s="52" t="s">
        <v>61</v>
      </c>
      <c r="D251" s="56" t="s">
        <v>272</v>
      </c>
      <c r="E251" s="70" t="s">
        <v>824</v>
      </c>
      <c r="H251" s="90">
        <f t="shared" si="13"/>
        <v>60600050</v>
      </c>
      <c r="I251" s="4" t="s">
        <v>272</v>
      </c>
    </row>
    <row r="252" spans="2:9" s="4" customFormat="1" outlineLevel="1" x14ac:dyDescent="0.35">
      <c r="B252" s="69">
        <v>60700010</v>
      </c>
      <c r="C252" s="52" t="s">
        <v>62</v>
      </c>
      <c r="D252" s="56" t="s">
        <v>62</v>
      </c>
      <c r="E252" s="70" t="s">
        <v>59</v>
      </c>
      <c r="H252" s="90">
        <f t="shared" si="13"/>
        <v>60700010</v>
      </c>
      <c r="I252" s="4" t="s">
        <v>62</v>
      </c>
    </row>
    <row r="253" spans="2:9" s="4" customFormat="1" outlineLevel="1" x14ac:dyDescent="0.35">
      <c r="B253" s="69">
        <v>60800010</v>
      </c>
      <c r="C253" s="52" t="s">
        <v>63</v>
      </c>
      <c r="D253" s="56" t="s">
        <v>292</v>
      </c>
      <c r="E253" s="70" t="s">
        <v>824</v>
      </c>
      <c r="H253" s="90">
        <f t="shared" si="13"/>
        <v>60800010</v>
      </c>
      <c r="I253" s="4" t="s">
        <v>298</v>
      </c>
    </row>
    <row r="254" spans="2:9" s="4" customFormat="1" outlineLevel="1" x14ac:dyDescent="0.35">
      <c r="B254" s="69">
        <v>60800020</v>
      </c>
      <c r="C254" s="52" t="s">
        <v>64</v>
      </c>
      <c r="D254" s="56" t="s">
        <v>292</v>
      </c>
      <c r="E254" s="70" t="s">
        <v>824</v>
      </c>
      <c r="H254" s="90">
        <f t="shared" si="13"/>
        <v>60800020</v>
      </c>
      <c r="I254" s="4" t="s">
        <v>298</v>
      </c>
    </row>
    <row r="255" spans="2:9" s="4" customFormat="1" outlineLevel="1" x14ac:dyDescent="0.35">
      <c r="B255" s="69">
        <v>60800030</v>
      </c>
      <c r="C255" s="52" t="s">
        <v>65</v>
      </c>
      <c r="D255" s="56" t="s">
        <v>292</v>
      </c>
      <c r="E255" s="70" t="s">
        <v>824</v>
      </c>
      <c r="H255" s="90">
        <f t="shared" si="13"/>
        <v>60800030</v>
      </c>
      <c r="I255" s="4" t="s">
        <v>298</v>
      </c>
    </row>
    <row r="256" spans="2:9" s="4" customFormat="1" outlineLevel="1" x14ac:dyDescent="0.35">
      <c r="B256" s="69">
        <v>60800040</v>
      </c>
      <c r="C256" s="52" t="s">
        <v>66</v>
      </c>
      <c r="D256" s="56" t="s">
        <v>292</v>
      </c>
      <c r="E256" s="70" t="s">
        <v>824</v>
      </c>
      <c r="H256" s="90">
        <f t="shared" si="13"/>
        <v>60800040</v>
      </c>
      <c r="I256" s="4" t="s">
        <v>298</v>
      </c>
    </row>
    <row r="257" spans="2:9" s="4" customFormat="1" outlineLevel="1" x14ac:dyDescent="0.35">
      <c r="B257" s="69">
        <v>60800050</v>
      </c>
      <c r="C257" s="52" t="s">
        <v>67</v>
      </c>
      <c r="D257" s="56" t="s">
        <v>292</v>
      </c>
      <c r="E257" s="70" t="s">
        <v>824</v>
      </c>
      <c r="H257" s="90">
        <f t="shared" si="13"/>
        <v>60800050</v>
      </c>
      <c r="I257" s="4" t="s">
        <v>298</v>
      </c>
    </row>
    <row r="258" spans="2:9" s="4" customFormat="1" outlineLevel="1" x14ac:dyDescent="0.35">
      <c r="B258" s="69">
        <v>60800060</v>
      </c>
      <c r="C258" s="52" t="s">
        <v>68</v>
      </c>
      <c r="D258" s="56" t="s">
        <v>292</v>
      </c>
      <c r="E258" s="70" t="s">
        <v>824</v>
      </c>
      <c r="H258" s="90">
        <f t="shared" si="13"/>
        <v>60800060</v>
      </c>
      <c r="I258" s="4" t="s">
        <v>298</v>
      </c>
    </row>
    <row r="259" spans="2:9" s="4" customFormat="1" outlineLevel="1" x14ac:dyDescent="0.35">
      <c r="B259" s="69">
        <v>60800070</v>
      </c>
      <c r="C259" s="52" t="s">
        <v>69</v>
      </c>
      <c r="D259" s="56" t="s">
        <v>292</v>
      </c>
      <c r="E259" s="70" t="s">
        <v>824</v>
      </c>
      <c r="H259" s="90">
        <f t="shared" si="13"/>
        <v>60800070</v>
      </c>
      <c r="I259" s="4" t="s">
        <v>298</v>
      </c>
    </row>
    <row r="260" spans="2:9" s="4" customFormat="1" outlineLevel="1" x14ac:dyDescent="0.35">
      <c r="B260" s="69">
        <v>60800080</v>
      </c>
      <c r="C260" s="52" t="s">
        <v>70</v>
      </c>
      <c r="D260" s="56" t="s">
        <v>292</v>
      </c>
      <c r="E260" s="70" t="s">
        <v>824</v>
      </c>
      <c r="H260" s="90">
        <f t="shared" si="13"/>
        <v>60800080</v>
      </c>
      <c r="I260" s="4" t="s">
        <v>298</v>
      </c>
    </row>
    <row r="261" spans="2:9" s="4" customFormat="1" outlineLevel="1" x14ac:dyDescent="0.35">
      <c r="B261" s="69">
        <v>61100010</v>
      </c>
      <c r="C261" s="52" t="s">
        <v>235</v>
      </c>
      <c r="D261" s="56" t="s">
        <v>274</v>
      </c>
      <c r="E261" s="70" t="s">
        <v>619</v>
      </c>
      <c r="H261" s="90">
        <f t="shared" si="13"/>
        <v>61100010</v>
      </c>
      <c r="I261" s="4" t="s">
        <v>274</v>
      </c>
    </row>
    <row r="262" spans="2:9" s="4" customFormat="1" outlineLevel="1" x14ac:dyDescent="0.35">
      <c r="B262" s="69">
        <v>61200010</v>
      </c>
      <c r="C262" s="52" t="s">
        <v>236</v>
      </c>
      <c r="D262" s="56" t="s">
        <v>275</v>
      </c>
      <c r="E262" s="70" t="s">
        <v>922</v>
      </c>
      <c r="H262" s="90">
        <f t="shared" si="13"/>
        <v>61200010</v>
      </c>
      <c r="I262" s="4" t="s">
        <v>299</v>
      </c>
    </row>
    <row r="263" spans="2:9" s="4" customFormat="1" outlineLevel="1" x14ac:dyDescent="0.35">
      <c r="B263" s="69">
        <v>61200020</v>
      </c>
      <c r="C263" s="52" t="s">
        <v>237</v>
      </c>
      <c r="D263" s="56" t="s">
        <v>275</v>
      </c>
      <c r="E263" s="70" t="s">
        <v>922</v>
      </c>
      <c r="H263" s="90">
        <f t="shared" si="13"/>
        <v>61200020</v>
      </c>
      <c r="I263" s="4" t="s">
        <v>299</v>
      </c>
    </row>
    <row r="264" spans="2:9" s="4" customFormat="1" outlineLevel="1" x14ac:dyDescent="0.35">
      <c r="B264" s="69">
        <v>61200030</v>
      </c>
      <c r="C264" s="52" t="s">
        <v>238</v>
      </c>
      <c r="D264" s="56" t="s">
        <v>275</v>
      </c>
      <c r="E264" s="70" t="s">
        <v>922</v>
      </c>
      <c r="H264" s="90">
        <f t="shared" si="13"/>
        <v>61200030</v>
      </c>
      <c r="I264" s="4" t="s">
        <v>299</v>
      </c>
    </row>
    <row r="265" spans="2:9" s="4" customFormat="1" outlineLevel="1" x14ac:dyDescent="0.35">
      <c r="B265" s="69">
        <v>61200040</v>
      </c>
      <c r="C265" s="52" t="s">
        <v>239</v>
      </c>
      <c r="D265" s="56" t="s">
        <v>275</v>
      </c>
      <c r="E265" s="70" t="s">
        <v>922</v>
      </c>
      <c r="H265" s="90">
        <f t="shared" si="13"/>
        <v>61200040</v>
      </c>
      <c r="I265" s="4" t="s">
        <v>299</v>
      </c>
    </row>
    <row r="266" spans="2:9" s="4" customFormat="1" outlineLevel="1" x14ac:dyDescent="0.35">
      <c r="B266" s="69">
        <v>61200050</v>
      </c>
      <c r="C266" s="52" t="s">
        <v>240</v>
      </c>
      <c r="D266" s="56" t="s">
        <v>275</v>
      </c>
      <c r="E266" s="70" t="s">
        <v>922</v>
      </c>
      <c r="H266" s="90">
        <f t="shared" si="13"/>
        <v>61200050</v>
      </c>
      <c r="I266" s="4" t="s">
        <v>299</v>
      </c>
    </row>
    <row r="267" spans="2:9" s="4" customFormat="1" outlineLevel="1" x14ac:dyDescent="0.35">
      <c r="B267" s="69">
        <v>61200060</v>
      </c>
      <c r="C267" s="52" t="s">
        <v>241</v>
      </c>
      <c r="D267" s="56" t="s">
        <v>275</v>
      </c>
      <c r="E267" s="70" t="s">
        <v>922</v>
      </c>
      <c r="H267" s="90">
        <f t="shared" si="13"/>
        <v>61200060</v>
      </c>
      <c r="I267" s="4" t="s">
        <v>299</v>
      </c>
    </row>
    <row r="268" spans="2:9" s="4" customFormat="1" outlineLevel="1" x14ac:dyDescent="0.35">
      <c r="B268" s="69">
        <v>61200070</v>
      </c>
      <c r="C268" s="52" t="s">
        <v>242</v>
      </c>
      <c r="D268" s="56" t="s">
        <v>275</v>
      </c>
      <c r="E268" s="70" t="s">
        <v>922</v>
      </c>
      <c r="H268" s="90">
        <f t="shared" si="13"/>
        <v>61200070</v>
      </c>
      <c r="I268" s="4" t="s">
        <v>299</v>
      </c>
    </row>
    <row r="269" spans="2:9" s="4" customFormat="1" outlineLevel="1" x14ac:dyDescent="0.35">
      <c r="B269" s="69">
        <v>61200080</v>
      </c>
      <c r="C269" s="52" t="s">
        <v>243</v>
      </c>
      <c r="D269" s="56" t="s">
        <v>275</v>
      </c>
      <c r="E269" s="70" t="s">
        <v>922</v>
      </c>
      <c r="H269" s="90">
        <f t="shared" si="13"/>
        <v>61200080</v>
      </c>
      <c r="I269" s="4" t="s">
        <v>299</v>
      </c>
    </row>
    <row r="270" spans="2:9" s="4" customFormat="1" outlineLevel="1" x14ac:dyDescent="0.35">
      <c r="B270" s="69">
        <v>61200090</v>
      </c>
      <c r="C270" s="52" t="s">
        <v>244</v>
      </c>
      <c r="D270" s="56" t="s">
        <v>275</v>
      </c>
      <c r="E270" s="70" t="s">
        <v>922</v>
      </c>
      <c r="H270" s="90">
        <f t="shared" si="13"/>
        <v>61200090</v>
      </c>
      <c r="I270" s="4" t="s">
        <v>299</v>
      </c>
    </row>
    <row r="271" spans="2:9" s="4" customFormat="1" outlineLevel="1" x14ac:dyDescent="0.35">
      <c r="B271" s="69">
        <v>61300010</v>
      </c>
      <c r="C271" s="52" t="s">
        <v>245</v>
      </c>
      <c r="D271" s="56" t="s">
        <v>276</v>
      </c>
      <c r="E271" s="70" t="s">
        <v>922</v>
      </c>
      <c r="H271" s="90">
        <f t="shared" si="13"/>
        <v>61300010</v>
      </c>
      <c r="I271" s="4" t="s">
        <v>300</v>
      </c>
    </row>
    <row r="272" spans="2:9" s="4" customFormat="1" outlineLevel="1" x14ac:dyDescent="0.35">
      <c r="B272" s="69">
        <v>61300020</v>
      </c>
      <c r="C272" s="52" t="s">
        <v>246</v>
      </c>
      <c r="D272" s="56" t="s">
        <v>276</v>
      </c>
      <c r="E272" s="70" t="s">
        <v>922</v>
      </c>
      <c r="H272" s="90">
        <f t="shared" si="13"/>
        <v>61300020</v>
      </c>
      <c r="I272" s="4" t="s">
        <v>300</v>
      </c>
    </row>
    <row r="273" spans="2:9" s="4" customFormat="1" outlineLevel="1" x14ac:dyDescent="0.35">
      <c r="B273" s="69">
        <v>61300030</v>
      </c>
      <c r="C273" s="52" t="s">
        <v>247</v>
      </c>
      <c r="D273" s="56" t="s">
        <v>276</v>
      </c>
      <c r="E273" s="70" t="s">
        <v>922</v>
      </c>
      <c r="H273" s="90">
        <f t="shared" si="13"/>
        <v>61300030</v>
      </c>
      <c r="I273" s="4" t="s">
        <v>300</v>
      </c>
    </row>
    <row r="274" spans="2:9" s="4" customFormat="1" outlineLevel="1" x14ac:dyDescent="0.35">
      <c r="B274" s="69">
        <v>61300040</v>
      </c>
      <c r="C274" s="52" t="s">
        <v>248</v>
      </c>
      <c r="D274" s="56" t="s">
        <v>276</v>
      </c>
      <c r="E274" s="70" t="s">
        <v>922</v>
      </c>
      <c r="H274" s="90">
        <f t="shared" si="13"/>
        <v>61300040</v>
      </c>
      <c r="I274" s="4" t="s">
        <v>300</v>
      </c>
    </row>
    <row r="275" spans="2:9" s="4" customFormat="1" outlineLevel="1" x14ac:dyDescent="0.35">
      <c r="B275" s="69">
        <v>61300050</v>
      </c>
      <c r="C275" s="52" t="s">
        <v>249</v>
      </c>
      <c r="D275" s="56" t="s">
        <v>276</v>
      </c>
      <c r="E275" s="70" t="s">
        <v>922</v>
      </c>
      <c r="H275" s="90">
        <f t="shared" si="13"/>
        <v>61300050</v>
      </c>
      <c r="I275" s="4" t="s">
        <v>300</v>
      </c>
    </row>
    <row r="276" spans="2:9" s="4" customFormat="1" outlineLevel="1" x14ac:dyDescent="0.35">
      <c r="B276" s="69">
        <v>61300060</v>
      </c>
      <c r="C276" s="52" t="s">
        <v>250</v>
      </c>
      <c r="D276" s="56" t="s">
        <v>276</v>
      </c>
      <c r="E276" s="70" t="s">
        <v>922</v>
      </c>
      <c r="H276" s="90">
        <f t="shared" si="13"/>
        <v>61300060</v>
      </c>
      <c r="I276" s="4" t="s">
        <v>300</v>
      </c>
    </row>
    <row r="277" spans="2:9" s="4" customFormat="1" outlineLevel="1" x14ac:dyDescent="0.35">
      <c r="B277" s="69">
        <v>61300070</v>
      </c>
      <c r="C277" s="52" t="s">
        <v>251</v>
      </c>
      <c r="D277" s="56" t="s">
        <v>276</v>
      </c>
      <c r="E277" s="70" t="s">
        <v>922</v>
      </c>
      <c r="H277" s="90">
        <f t="shared" si="13"/>
        <v>61300070</v>
      </c>
      <c r="I277" s="4" t="s">
        <v>300</v>
      </c>
    </row>
    <row r="278" spans="2:9" s="4" customFormat="1" outlineLevel="1" x14ac:dyDescent="0.35">
      <c r="B278" s="69">
        <v>61300080</v>
      </c>
      <c r="C278" s="52" t="s">
        <v>252</v>
      </c>
      <c r="D278" s="56" t="s">
        <v>276</v>
      </c>
      <c r="E278" s="70" t="s">
        <v>922</v>
      </c>
      <c r="H278" s="90">
        <f t="shared" si="13"/>
        <v>61300080</v>
      </c>
      <c r="I278" s="4" t="s">
        <v>300</v>
      </c>
    </row>
    <row r="279" spans="2:9" s="4" customFormat="1" outlineLevel="1" x14ac:dyDescent="0.35">
      <c r="B279" s="69">
        <v>61300090</v>
      </c>
      <c r="C279" s="52" t="s">
        <v>253</v>
      </c>
      <c r="D279" s="56" t="s">
        <v>276</v>
      </c>
      <c r="E279" s="70" t="s">
        <v>922</v>
      </c>
      <c r="H279" s="90">
        <f t="shared" si="13"/>
        <v>61300090</v>
      </c>
      <c r="I279" s="4" t="s">
        <v>300</v>
      </c>
    </row>
    <row r="280" spans="2:9" s="4" customFormat="1" ht="29" outlineLevel="1" x14ac:dyDescent="0.35">
      <c r="B280" s="69">
        <v>61400010</v>
      </c>
      <c r="C280" s="52" t="s">
        <v>71</v>
      </c>
      <c r="D280" s="56" t="s">
        <v>277</v>
      </c>
      <c r="E280" s="70" t="s">
        <v>941</v>
      </c>
      <c r="H280" s="90">
        <f t="shared" si="13"/>
        <v>61400010</v>
      </c>
      <c r="I280" s="4" t="s">
        <v>301</v>
      </c>
    </row>
    <row r="281" spans="2:9" s="4" customFormat="1" outlineLevel="1" x14ac:dyDescent="0.35">
      <c r="B281" s="69">
        <v>61400020</v>
      </c>
      <c r="C281" s="52" t="s">
        <v>254</v>
      </c>
      <c r="D281" s="56" t="s">
        <v>277</v>
      </c>
      <c r="E281" s="70" t="s">
        <v>941</v>
      </c>
      <c r="H281" s="90">
        <f t="shared" si="13"/>
        <v>61400020</v>
      </c>
      <c r="I281" s="4" t="s">
        <v>301</v>
      </c>
    </row>
    <row r="282" spans="2:9" s="4" customFormat="1" outlineLevel="1" x14ac:dyDescent="0.35">
      <c r="B282" s="69">
        <v>61400030</v>
      </c>
      <c r="C282" s="52" t="s">
        <v>255</v>
      </c>
      <c r="D282" s="56" t="s">
        <v>277</v>
      </c>
      <c r="E282" s="70" t="s">
        <v>941</v>
      </c>
      <c r="H282" s="90">
        <f t="shared" si="13"/>
        <v>61400030</v>
      </c>
      <c r="I282" s="4" t="s">
        <v>301</v>
      </c>
    </row>
    <row r="283" spans="2:9" s="4" customFormat="1" outlineLevel="1" x14ac:dyDescent="0.35">
      <c r="B283" s="69">
        <v>61500010</v>
      </c>
      <c r="C283" s="52" t="s">
        <v>72</v>
      </c>
      <c r="D283" s="56" t="s">
        <v>278</v>
      </c>
      <c r="E283" s="70" t="s">
        <v>824</v>
      </c>
      <c r="H283" s="90">
        <f t="shared" si="13"/>
        <v>61500010</v>
      </c>
      <c r="I283" s="4" t="s">
        <v>302</v>
      </c>
    </row>
    <row r="284" spans="2:9" s="4" customFormat="1" outlineLevel="1" x14ac:dyDescent="0.35">
      <c r="B284" s="69">
        <v>61500020</v>
      </c>
      <c r="C284" s="52" t="s">
        <v>73</v>
      </c>
      <c r="D284" s="56" t="s">
        <v>278</v>
      </c>
      <c r="E284" s="70" t="s">
        <v>34</v>
      </c>
      <c r="H284" s="90">
        <f t="shared" si="13"/>
        <v>61500020</v>
      </c>
      <c r="I284" s="4" t="s">
        <v>302</v>
      </c>
    </row>
    <row r="285" spans="2:9" s="4" customFormat="1" ht="29" outlineLevel="1" x14ac:dyDescent="0.35">
      <c r="B285" s="69">
        <v>61600010</v>
      </c>
      <c r="C285" s="52" t="s">
        <v>944</v>
      </c>
      <c r="D285" s="56" t="s">
        <v>279</v>
      </c>
      <c r="E285" s="70" t="s">
        <v>59</v>
      </c>
      <c r="H285" s="90">
        <f t="shared" si="13"/>
        <v>61600010</v>
      </c>
      <c r="I285" s="4" t="s">
        <v>303</v>
      </c>
    </row>
    <row r="286" spans="2:9" s="4" customFormat="1" outlineLevel="1" x14ac:dyDescent="0.35">
      <c r="B286" s="69">
        <v>61600030</v>
      </c>
      <c r="C286" s="52" t="s">
        <v>76</v>
      </c>
      <c r="D286" s="56" t="s">
        <v>279</v>
      </c>
      <c r="E286" s="70" t="s">
        <v>59</v>
      </c>
      <c r="H286" s="90">
        <f t="shared" si="13"/>
        <v>61600030</v>
      </c>
      <c r="I286" s="4" t="s">
        <v>303</v>
      </c>
    </row>
    <row r="287" spans="2:9" s="4" customFormat="1" ht="29" outlineLevel="1" x14ac:dyDescent="0.35">
      <c r="B287" s="69">
        <v>61600040</v>
      </c>
      <c r="C287" s="52" t="s">
        <v>77</v>
      </c>
      <c r="D287" s="56" t="s">
        <v>279</v>
      </c>
      <c r="E287" s="70" t="s">
        <v>90</v>
      </c>
      <c r="H287" s="90">
        <f t="shared" si="13"/>
        <v>61600040</v>
      </c>
      <c r="I287" s="4" t="s">
        <v>303</v>
      </c>
    </row>
    <row r="288" spans="2:9" s="4" customFormat="1" ht="29" outlineLevel="1" x14ac:dyDescent="0.35">
      <c r="B288" s="69">
        <v>61600050</v>
      </c>
      <c r="C288" s="52" t="s">
        <v>948</v>
      </c>
      <c r="D288" s="56" t="s">
        <v>279</v>
      </c>
      <c r="E288" s="70" t="s">
        <v>90</v>
      </c>
      <c r="H288" s="90">
        <f t="shared" si="13"/>
        <v>61600050</v>
      </c>
      <c r="I288" s="4" t="s">
        <v>303</v>
      </c>
    </row>
    <row r="289" spans="2:9" s="4" customFormat="1" outlineLevel="1" x14ac:dyDescent="0.35">
      <c r="B289" s="69">
        <v>61600060</v>
      </c>
      <c r="C289" s="52" t="s">
        <v>950</v>
      </c>
      <c r="D289" s="56" t="s">
        <v>279</v>
      </c>
      <c r="E289" s="70" t="s">
        <v>59</v>
      </c>
      <c r="H289" s="90">
        <f t="shared" si="13"/>
        <v>61600060</v>
      </c>
      <c r="I289" s="4" t="s">
        <v>303</v>
      </c>
    </row>
    <row r="290" spans="2:9" s="4" customFormat="1" outlineLevel="1" x14ac:dyDescent="0.35">
      <c r="B290" s="69">
        <v>61600070</v>
      </c>
      <c r="C290" s="52" t="s">
        <v>78</v>
      </c>
      <c r="D290" s="56" t="s">
        <v>279</v>
      </c>
      <c r="E290" s="70" t="s">
        <v>59</v>
      </c>
      <c r="H290" s="90">
        <f t="shared" si="13"/>
        <v>61600070</v>
      </c>
      <c r="I290" s="4" t="s">
        <v>303</v>
      </c>
    </row>
    <row r="291" spans="2:9" s="4" customFormat="1" outlineLevel="1" x14ac:dyDescent="0.35">
      <c r="B291" s="69">
        <v>61700010</v>
      </c>
      <c r="C291" s="52" t="s">
        <v>79</v>
      </c>
      <c r="D291" s="56" t="s">
        <v>280</v>
      </c>
      <c r="E291" s="70" t="s">
        <v>952</v>
      </c>
      <c r="H291" s="90">
        <f t="shared" si="13"/>
        <v>61700010</v>
      </c>
      <c r="I291" s="4" t="s">
        <v>304</v>
      </c>
    </row>
    <row r="292" spans="2:9" s="4" customFormat="1" outlineLevel="1" x14ac:dyDescent="0.35">
      <c r="B292" s="69">
        <v>61700030</v>
      </c>
      <c r="C292" s="52" t="s">
        <v>80</v>
      </c>
      <c r="D292" s="56" t="s">
        <v>280</v>
      </c>
      <c r="E292" s="70" t="s">
        <v>59</v>
      </c>
      <c r="H292" s="90">
        <f t="shared" si="13"/>
        <v>61700030</v>
      </c>
      <c r="I292" s="4" t="s">
        <v>304</v>
      </c>
    </row>
    <row r="293" spans="2:9" s="4" customFormat="1" outlineLevel="1" x14ac:dyDescent="0.35">
      <c r="B293" s="69">
        <v>61700040</v>
      </c>
      <c r="C293" s="52" t="s">
        <v>81</v>
      </c>
      <c r="D293" s="56" t="s">
        <v>280</v>
      </c>
      <c r="E293" s="70" t="s">
        <v>59</v>
      </c>
      <c r="H293" s="90">
        <f t="shared" si="13"/>
        <v>61700040</v>
      </c>
      <c r="I293" s="4" t="s">
        <v>304</v>
      </c>
    </row>
    <row r="294" spans="2:9" s="4" customFormat="1" outlineLevel="1" x14ac:dyDescent="0.35">
      <c r="B294" s="69">
        <v>61700050</v>
      </c>
      <c r="C294" s="52" t="s">
        <v>82</v>
      </c>
      <c r="D294" s="56" t="s">
        <v>280</v>
      </c>
      <c r="E294" s="70" t="s">
        <v>59</v>
      </c>
      <c r="H294" s="90">
        <f t="shared" si="13"/>
        <v>61700050</v>
      </c>
      <c r="I294" s="4" t="s">
        <v>304</v>
      </c>
    </row>
    <row r="295" spans="2:9" s="4" customFormat="1" outlineLevel="1" x14ac:dyDescent="0.35">
      <c r="B295" s="69">
        <v>61700060</v>
      </c>
      <c r="C295" s="52" t="s">
        <v>953</v>
      </c>
      <c r="D295" s="56" t="s">
        <v>280</v>
      </c>
      <c r="E295" s="70" t="s">
        <v>59</v>
      </c>
      <c r="H295" s="90">
        <f t="shared" si="13"/>
        <v>61700060</v>
      </c>
      <c r="I295" s="4" t="s">
        <v>304</v>
      </c>
    </row>
    <row r="296" spans="2:9" s="4" customFormat="1" outlineLevel="1" x14ac:dyDescent="0.35">
      <c r="B296" s="69">
        <v>61700070</v>
      </c>
      <c r="C296" s="52" t="s">
        <v>84</v>
      </c>
      <c r="D296" s="56" t="s">
        <v>280</v>
      </c>
      <c r="E296" s="70" t="s">
        <v>824</v>
      </c>
      <c r="H296" s="90">
        <f t="shared" si="13"/>
        <v>61700070</v>
      </c>
      <c r="I296" s="4" t="s">
        <v>304</v>
      </c>
    </row>
    <row r="297" spans="2:9" s="4" customFormat="1" ht="29" outlineLevel="1" x14ac:dyDescent="0.35">
      <c r="B297" s="69">
        <v>61800010</v>
      </c>
      <c r="C297" s="52" t="s">
        <v>85</v>
      </c>
      <c r="D297" s="56" t="s">
        <v>293</v>
      </c>
      <c r="E297" s="70" t="s">
        <v>824</v>
      </c>
      <c r="H297" s="90">
        <f t="shared" si="13"/>
        <v>61800010</v>
      </c>
      <c r="I297" s="4" t="s">
        <v>305</v>
      </c>
    </row>
    <row r="298" spans="2:9" s="4" customFormat="1" outlineLevel="1" x14ac:dyDescent="0.35">
      <c r="B298" s="69">
        <v>61800020</v>
      </c>
      <c r="C298" s="69" t="s">
        <v>86</v>
      </c>
      <c r="D298" s="69" t="s">
        <v>293</v>
      </c>
      <c r="E298" s="70" t="s">
        <v>824</v>
      </c>
      <c r="H298" s="90">
        <f t="shared" si="13"/>
        <v>61800020</v>
      </c>
      <c r="I298" s="4" t="s">
        <v>305</v>
      </c>
    </row>
    <row r="299" spans="2:9" s="4" customFormat="1" outlineLevel="1" x14ac:dyDescent="0.35">
      <c r="B299" s="69">
        <v>61800030</v>
      </c>
      <c r="C299" s="69" t="s">
        <v>87</v>
      </c>
      <c r="D299" s="69" t="s">
        <v>293</v>
      </c>
      <c r="E299" s="70" t="s">
        <v>824</v>
      </c>
      <c r="H299" s="90">
        <f t="shared" si="13"/>
        <v>61800030</v>
      </c>
      <c r="I299" s="4" t="s">
        <v>305</v>
      </c>
    </row>
    <row r="300" spans="2:9" s="4" customFormat="1" outlineLevel="1" x14ac:dyDescent="0.35">
      <c r="B300" s="69">
        <v>61800090</v>
      </c>
      <c r="C300" s="69" t="s">
        <v>88</v>
      </c>
      <c r="D300" s="69" t="s">
        <v>293</v>
      </c>
      <c r="E300" s="70" t="s">
        <v>824</v>
      </c>
      <c r="H300" s="90">
        <f t="shared" ref="H300:H331" si="14">B300</f>
        <v>61800090</v>
      </c>
      <c r="I300" s="4" t="s">
        <v>305</v>
      </c>
    </row>
    <row r="301" spans="2:9" s="4" customFormat="1" outlineLevel="1" x14ac:dyDescent="0.35">
      <c r="B301" s="69">
        <v>61900010</v>
      </c>
      <c r="C301" s="69" t="s">
        <v>89</v>
      </c>
      <c r="D301" s="69" t="s">
        <v>230</v>
      </c>
      <c r="E301" s="70" t="s">
        <v>824</v>
      </c>
      <c r="H301" s="90">
        <f t="shared" si="14"/>
        <v>61900010</v>
      </c>
      <c r="I301" s="4" t="s">
        <v>306</v>
      </c>
    </row>
    <row r="302" spans="2:9" s="4" customFormat="1" outlineLevel="1" x14ac:dyDescent="0.35">
      <c r="B302" s="69">
        <v>61900020</v>
      </c>
      <c r="C302" s="69" t="s">
        <v>91</v>
      </c>
      <c r="D302" s="69" t="s">
        <v>230</v>
      </c>
      <c r="E302" s="70" t="s">
        <v>824</v>
      </c>
      <c r="H302" s="90">
        <f t="shared" si="14"/>
        <v>61900020</v>
      </c>
      <c r="I302" s="4" t="s">
        <v>306</v>
      </c>
    </row>
    <row r="303" spans="2:9" s="4" customFormat="1" outlineLevel="1" x14ac:dyDescent="0.35">
      <c r="B303" s="69">
        <v>61900030</v>
      </c>
      <c r="C303" s="69" t="s">
        <v>92</v>
      </c>
      <c r="D303" s="69" t="s">
        <v>230</v>
      </c>
      <c r="E303" s="70" t="s">
        <v>824</v>
      </c>
      <c r="H303" s="90">
        <f t="shared" si="14"/>
        <v>61900030</v>
      </c>
      <c r="I303" s="4" t="s">
        <v>306</v>
      </c>
    </row>
    <row r="304" spans="2:9" s="4" customFormat="1" outlineLevel="1" x14ac:dyDescent="0.35">
      <c r="B304" s="69">
        <v>61900040</v>
      </c>
      <c r="C304" s="69" t="s">
        <v>93</v>
      </c>
      <c r="D304" s="69" t="s">
        <v>230</v>
      </c>
      <c r="E304" s="70" t="s">
        <v>824</v>
      </c>
      <c r="H304" s="90">
        <f t="shared" si="14"/>
        <v>61900040</v>
      </c>
      <c r="I304" s="4" t="s">
        <v>306</v>
      </c>
    </row>
    <row r="305" spans="2:9" s="4" customFormat="1" outlineLevel="1" x14ac:dyDescent="0.35">
      <c r="B305" s="69">
        <v>61900050</v>
      </c>
      <c r="C305" s="69" t="s">
        <v>331</v>
      </c>
      <c r="D305" s="69" t="s">
        <v>230</v>
      </c>
      <c r="E305" s="70" t="s">
        <v>824</v>
      </c>
      <c r="H305" s="90">
        <f t="shared" si="14"/>
        <v>61900050</v>
      </c>
      <c r="I305" s="4" t="s">
        <v>306</v>
      </c>
    </row>
    <row r="306" spans="2:9" s="4" customFormat="1" outlineLevel="1" x14ac:dyDescent="0.35">
      <c r="B306" s="69">
        <v>61900090</v>
      </c>
      <c r="C306" s="69" t="s">
        <v>94</v>
      </c>
      <c r="D306" s="69" t="s">
        <v>230</v>
      </c>
      <c r="E306" s="70" t="s">
        <v>824</v>
      </c>
      <c r="H306" s="90">
        <f t="shared" si="14"/>
        <v>61900090</v>
      </c>
      <c r="I306" s="4" t="s">
        <v>306</v>
      </c>
    </row>
    <row r="307" spans="2:9" s="4" customFormat="1" outlineLevel="1" x14ac:dyDescent="0.35">
      <c r="B307" s="69">
        <v>62000010</v>
      </c>
      <c r="C307" s="69" t="s">
        <v>95</v>
      </c>
      <c r="D307" s="69" t="s">
        <v>282</v>
      </c>
      <c r="E307" s="69" t="s">
        <v>128</v>
      </c>
      <c r="H307" s="90">
        <f t="shared" si="14"/>
        <v>62000010</v>
      </c>
      <c r="I307" s="4" t="s">
        <v>307</v>
      </c>
    </row>
    <row r="308" spans="2:9" s="4" customFormat="1" ht="29" outlineLevel="1" x14ac:dyDescent="0.35">
      <c r="B308" s="69">
        <v>62000020</v>
      </c>
      <c r="C308" s="69" t="s">
        <v>96</v>
      </c>
      <c r="D308" s="69" t="s">
        <v>282</v>
      </c>
      <c r="E308" s="69" t="s">
        <v>214</v>
      </c>
      <c r="H308" s="90">
        <f t="shared" si="14"/>
        <v>62000020</v>
      </c>
      <c r="I308" s="4" t="s">
        <v>307</v>
      </c>
    </row>
    <row r="309" spans="2:9" s="4" customFormat="1" outlineLevel="1" x14ac:dyDescent="0.35">
      <c r="B309" s="69">
        <v>62000040</v>
      </c>
      <c r="C309" s="69" t="s">
        <v>97</v>
      </c>
      <c r="D309" s="69" t="s">
        <v>282</v>
      </c>
      <c r="E309" s="70" t="s">
        <v>824</v>
      </c>
      <c r="H309" s="90">
        <f t="shared" si="14"/>
        <v>62000040</v>
      </c>
      <c r="I309" s="4" t="s">
        <v>307</v>
      </c>
    </row>
    <row r="310" spans="2:9" s="4" customFormat="1" outlineLevel="1" x14ac:dyDescent="0.35">
      <c r="B310" s="69">
        <v>62100010</v>
      </c>
      <c r="C310" s="69" t="s">
        <v>98</v>
      </c>
      <c r="D310" s="69" t="s">
        <v>283</v>
      </c>
      <c r="E310" s="69" t="s">
        <v>90</v>
      </c>
      <c r="H310" s="90">
        <f t="shared" si="14"/>
        <v>62100010</v>
      </c>
      <c r="I310" s="4" t="s">
        <v>308</v>
      </c>
    </row>
    <row r="311" spans="2:9" s="4" customFormat="1" outlineLevel="1" x14ac:dyDescent="0.35">
      <c r="B311" s="69">
        <v>62100020</v>
      </c>
      <c r="C311" s="69" t="s">
        <v>100</v>
      </c>
      <c r="D311" s="69" t="s">
        <v>283</v>
      </c>
      <c r="E311" s="69" t="s">
        <v>90</v>
      </c>
      <c r="H311" s="90">
        <f t="shared" si="14"/>
        <v>62100020</v>
      </c>
      <c r="I311" s="4" t="s">
        <v>308</v>
      </c>
    </row>
    <row r="312" spans="2:9" s="4" customFormat="1" outlineLevel="1" x14ac:dyDescent="0.35">
      <c r="B312" s="69">
        <v>62100030</v>
      </c>
      <c r="C312" s="69" t="s">
        <v>101</v>
      </c>
      <c r="D312" s="69" t="s">
        <v>283</v>
      </c>
      <c r="E312" s="69" t="s">
        <v>90</v>
      </c>
      <c r="H312" s="90">
        <f t="shared" si="14"/>
        <v>62100030</v>
      </c>
      <c r="I312" s="4" t="s">
        <v>308</v>
      </c>
    </row>
    <row r="313" spans="2:9" s="4" customFormat="1" outlineLevel="1" x14ac:dyDescent="0.35">
      <c r="B313" s="69">
        <v>62100040</v>
      </c>
      <c r="C313" s="69" t="s">
        <v>103</v>
      </c>
      <c r="D313" s="69" t="s">
        <v>283</v>
      </c>
      <c r="E313" s="69" t="s">
        <v>90</v>
      </c>
      <c r="H313" s="90">
        <f t="shared" si="14"/>
        <v>62100040</v>
      </c>
      <c r="I313" s="4" t="s">
        <v>308</v>
      </c>
    </row>
    <row r="314" spans="2:9" s="4" customFormat="1" outlineLevel="1" x14ac:dyDescent="0.35">
      <c r="B314" s="69">
        <v>62100050</v>
      </c>
      <c r="C314" s="69" t="s">
        <v>257</v>
      </c>
      <c r="D314" s="69" t="s">
        <v>283</v>
      </c>
      <c r="E314" s="69" t="s">
        <v>90</v>
      </c>
      <c r="H314" s="90">
        <f t="shared" si="14"/>
        <v>62100050</v>
      </c>
      <c r="I314" s="4" t="s">
        <v>308</v>
      </c>
    </row>
    <row r="315" spans="2:9" s="4" customFormat="1" outlineLevel="1" x14ac:dyDescent="0.35">
      <c r="B315" s="69">
        <v>62200010</v>
      </c>
      <c r="C315" s="69" t="s">
        <v>106</v>
      </c>
      <c r="D315" s="69" t="s">
        <v>284</v>
      </c>
      <c r="E315" s="70" t="s">
        <v>824</v>
      </c>
      <c r="H315" s="90">
        <f t="shared" si="14"/>
        <v>62200010</v>
      </c>
      <c r="I315" s="4" t="s">
        <v>309</v>
      </c>
    </row>
    <row r="316" spans="2:9" s="4" customFormat="1" outlineLevel="1" x14ac:dyDescent="0.35">
      <c r="B316" s="69">
        <v>62200020</v>
      </c>
      <c r="C316" s="69" t="s">
        <v>108</v>
      </c>
      <c r="D316" s="69" t="s">
        <v>284</v>
      </c>
      <c r="E316" s="70" t="s">
        <v>824</v>
      </c>
      <c r="H316" s="90">
        <f t="shared" si="14"/>
        <v>62200020</v>
      </c>
      <c r="I316" s="4" t="s">
        <v>309</v>
      </c>
    </row>
    <row r="317" spans="2:9" s="4" customFormat="1" outlineLevel="1" x14ac:dyDescent="0.35">
      <c r="B317" s="69">
        <v>62300010</v>
      </c>
      <c r="C317" s="69" t="s">
        <v>110</v>
      </c>
      <c r="D317" s="69" t="s">
        <v>285</v>
      </c>
      <c r="E317" s="70" t="s">
        <v>824</v>
      </c>
      <c r="H317" s="90">
        <f t="shared" si="14"/>
        <v>62300010</v>
      </c>
      <c r="I317" s="4" t="s">
        <v>310</v>
      </c>
    </row>
    <row r="318" spans="2:9" s="4" customFormat="1" outlineLevel="1" x14ac:dyDescent="0.35">
      <c r="B318" s="69">
        <v>62300020</v>
      </c>
      <c r="C318" s="69" t="s">
        <v>112</v>
      </c>
      <c r="D318" s="69" t="s">
        <v>285</v>
      </c>
      <c r="E318" s="70" t="s">
        <v>824</v>
      </c>
      <c r="H318" s="90">
        <f t="shared" si="14"/>
        <v>62300020</v>
      </c>
      <c r="I318" s="4" t="s">
        <v>310</v>
      </c>
    </row>
    <row r="319" spans="2:9" s="4" customFormat="1" outlineLevel="1" x14ac:dyDescent="0.35">
      <c r="B319" s="69">
        <v>62400030</v>
      </c>
      <c r="C319" s="69" t="s">
        <v>114</v>
      </c>
      <c r="D319" s="69" t="s">
        <v>286</v>
      </c>
      <c r="E319" s="70" t="s">
        <v>824</v>
      </c>
      <c r="H319" s="90">
        <f t="shared" si="14"/>
        <v>62400030</v>
      </c>
      <c r="I319" s="4" t="s">
        <v>311</v>
      </c>
    </row>
    <row r="320" spans="2:9" s="4" customFormat="1" outlineLevel="1" x14ac:dyDescent="0.35">
      <c r="B320" s="69">
        <v>62400040</v>
      </c>
      <c r="C320" s="69" t="s">
        <v>116</v>
      </c>
      <c r="D320" s="69" t="s">
        <v>286</v>
      </c>
      <c r="E320" s="70" t="s">
        <v>824</v>
      </c>
      <c r="H320" s="90">
        <f t="shared" si="14"/>
        <v>62400040</v>
      </c>
      <c r="I320" s="4" t="s">
        <v>311</v>
      </c>
    </row>
    <row r="321" spans="2:9" s="4" customFormat="1" outlineLevel="1" x14ac:dyDescent="0.35">
      <c r="B321" s="69">
        <v>62400060</v>
      </c>
      <c r="C321" s="69" t="s">
        <v>258</v>
      </c>
      <c r="D321" s="69" t="s">
        <v>286</v>
      </c>
      <c r="E321" s="69" t="s">
        <v>128</v>
      </c>
      <c r="H321" s="90">
        <f t="shared" si="14"/>
        <v>62400060</v>
      </c>
      <c r="I321" s="4" t="s">
        <v>311</v>
      </c>
    </row>
    <row r="322" spans="2:9" s="4" customFormat="1" outlineLevel="1" x14ac:dyDescent="0.35">
      <c r="B322" s="69">
        <v>62500010</v>
      </c>
      <c r="C322" s="69" t="s">
        <v>117</v>
      </c>
      <c r="D322" s="69" t="s">
        <v>117</v>
      </c>
      <c r="E322" s="69" t="s">
        <v>16</v>
      </c>
      <c r="H322" s="90">
        <f t="shared" si="14"/>
        <v>62500010</v>
      </c>
      <c r="I322" s="4" t="s">
        <v>287</v>
      </c>
    </row>
    <row r="323" spans="2:9" s="4" customFormat="1" outlineLevel="1" x14ac:dyDescent="0.35">
      <c r="B323" s="69">
        <v>62600010</v>
      </c>
      <c r="C323" s="69" t="s">
        <v>119</v>
      </c>
      <c r="D323" s="69" t="s">
        <v>287</v>
      </c>
      <c r="E323" s="70" t="s">
        <v>824</v>
      </c>
      <c r="H323" s="90">
        <f t="shared" si="14"/>
        <v>62600010</v>
      </c>
      <c r="I323" s="4" t="s">
        <v>287</v>
      </c>
    </row>
    <row r="324" spans="2:9" s="4" customFormat="1" outlineLevel="1" x14ac:dyDescent="0.35">
      <c r="B324" s="69">
        <v>62600020</v>
      </c>
      <c r="C324" s="69" t="s">
        <v>120</v>
      </c>
      <c r="D324" s="69" t="s">
        <v>287</v>
      </c>
      <c r="E324" s="70" t="s">
        <v>824</v>
      </c>
      <c r="H324" s="90">
        <f t="shared" si="14"/>
        <v>62600020</v>
      </c>
      <c r="I324" s="4" t="s">
        <v>287</v>
      </c>
    </row>
    <row r="325" spans="2:9" s="4" customFormat="1" outlineLevel="1" x14ac:dyDescent="0.35">
      <c r="B325" s="69">
        <v>62600030</v>
      </c>
      <c r="C325" s="69" t="s">
        <v>121</v>
      </c>
      <c r="D325" s="69" t="s">
        <v>287</v>
      </c>
      <c r="E325" s="70" t="s">
        <v>824</v>
      </c>
      <c r="H325" s="90">
        <f t="shared" si="14"/>
        <v>62600030</v>
      </c>
      <c r="I325" s="4" t="s">
        <v>287</v>
      </c>
    </row>
    <row r="326" spans="2:9" s="4" customFormat="1" outlineLevel="1" x14ac:dyDescent="0.35">
      <c r="B326" s="69">
        <v>62700010</v>
      </c>
      <c r="C326" s="69" t="s">
        <v>259</v>
      </c>
      <c r="D326" s="69" t="s">
        <v>259</v>
      </c>
      <c r="E326" s="69" t="s">
        <v>128</v>
      </c>
      <c r="H326" s="90">
        <f t="shared" si="14"/>
        <v>62700010</v>
      </c>
      <c r="I326" s="4" t="s">
        <v>312</v>
      </c>
    </row>
    <row r="327" spans="2:9" s="4" customFormat="1" outlineLevel="1" x14ac:dyDescent="0.35">
      <c r="B327" s="69">
        <v>62800010</v>
      </c>
      <c r="C327" s="69" t="s">
        <v>260</v>
      </c>
      <c r="D327" s="69" t="s">
        <v>260</v>
      </c>
      <c r="E327" s="69" t="s">
        <v>130</v>
      </c>
      <c r="H327" s="90">
        <f t="shared" si="14"/>
        <v>62800010</v>
      </c>
      <c r="I327" s="4" t="s">
        <v>260</v>
      </c>
    </row>
    <row r="328" spans="2:9" s="4" customFormat="1" outlineLevel="1" x14ac:dyDescent="0.35">
      <c r="B328" s="69">
        <v>62900010</v>
      </c>
      <c r="C328" s="69" t="s">
        <v>122</v>
      </c>
      <c r="D328" s="69" t="s">
        <v>288</v>
      </c>
      <c r="E328" s="70" t="s">
        <v>824</v>
      </c>
      <c r="H328" s="90">
        <f t="shared" si="14"/>
        <v>62900010</v>
      </c>
      <c r="I328" s="4" t="s">
        <v>122</v>
      </c>
    </row>
    <row r="329" spans="2:9" s="4" customFormat="1" outlineLevel="1" x14ac:dyDescent="0.35">
      <c r="B329" s="69">
        <v>62900020</v>
      </c>
      <c r="C329" s="69" t="s">
        <v>124</v>
      </c>
      <c r="D329" s="69" t="s">
        <v>288</v>
      </c>
      <c r="E329" s="70" t="s">
        <v>824</v>
      </c>
      <c r="H329" s="90">
        <f t="shared" si="14"/>
        <v>62900020</v>
      </c>
      <c r="I329" s="4" t="s">
        <v>124</v>
      </c>
    </row>
    <row r="330" spans="2:9" s="4" customFormat="1" outlineLevel="1" x14ac:dyDescent="0.35">
      <c r="B330" s="69">
        <v>63300010</v>
      </c>
      <c r="C330" s="69" t="s">
        <v>967</v>
      </c>
      <c r="D330" s="69" t="s">
        <v>230</v>
      </c>
      <c r="E330" s="69"/>
      <c r="H330" s="90">
        <f t="shared" si="14"/>
        <v>63300010</v>
      </c>
      <c r="I330" s="4" t="s">
        <v>306</v>
      </c>
    </row>
    <row r="331" spans="2:9" s="4" customFormat="1" outlineLevel="1" x14ac:dyDescent="0.35">
      <c r="B331" s="293">
        <v>63900010</v>
      </c>
      <c r="C331" s="294" t="s">
        <v>126</v>
      </c>
      <c r="D331" s="294" t="s">
        <v>296</v>
      </c>
      <c r="E331" s="295" t="s">
        <v>824</v>
      </c>
      <c r="H331" s="90">
        <f t="shared" si="14"/>
        <v>63900010</v>
      </c>
      <c r="I331" s="4" t="s">
        <v>296</v>
      </c>
    </row>
    <row r="332" spans="2:9" outlineLevel="1" x14ac:dyDescent="0.35">
      <c r="B332" s="296"/>
      <c r="C332" s="297"/>
      <c r="D332" s="297"/>
      <c r="E332" s="298"/>
    </row>
    <row r="333" spans="2:9" outlineLevel="1" x14ac:dyDescent="0.35"/>
    <row r="334" spans="2:9" outlineLevel="1" x14ac:dyDescent="0.35">
      <c r="B334" s="38" t="s">
        <v>1233</v>
      </c>
      <c r="C334" s="4"/>
      <c r="D334" s="4"/>
      <c r="E334" s="4"/>
      <c r="F334" s="4"/>
    </row>
    <row r="335" spans="2:9" x14ac:dyDescent="0.35">
      <c r="B335" s="91" t="s">
        <v>817</v>
      </c>
      <c r="C335" s="91" t="s">
        <v>818</v>
      </c>
      <c r="D335" s="91" t="s">
        <v>820</v>
      </c>
      <c r="E335" s="91" t="s">
        <v>821</v>
      </c>
      <c r="H335" s="91" t="s">
        <v>1234</v>
      </c>
      <c r="I335" s="91" t="s">
        <v>817</v>
      </c>
    </row>
    <row r="336" spans="2:9" x14ac:dyDescent="0.35">
      <c r="B336" s="70">
        <v>15000000</v>
      </c>
      <c r="C336" s="92" t="s">
        <v>388</v>
      </c>
      <c r="D336" s="70" t="s">
        <v>403</v>
      </c>
      <c r="E336" s="70" t="s">
        <v>1235</v>
      </c>
      <c r="H336" s="93" t="s">
        <v>1242</v>
      </c>
      <c r="I336" s="70">
        <v>15000000</v>
      </c>
    </row>
    <row r="337" spans="2:9" x14ac:dyDescent="0.35">
      <c r="B337" s="70">
        <v>15000010</v>
      </c>
      <c r="C337" s="92" t="s">
        <v>389</v>
      </c>
      <c r="D337" s="70" t="s">
        <v>403</v>
      </c>
      <c r="E337" s="70" t="s">
        <v>1235</v>
      </c>
      <c r="H337" s="93" t="s">
        <v>1243</v>
      </c>
      <c r="I337" s="70">
        <v>15000010</v>
      </c>
    </row>
    <row r="338" spans="2:9" x14ac:dyDescent="0.35">
      <c r="B338" s="70">
        <v>15000020</v>
      </c>
      <c r="C338" s="92" t="s">
        <v>390</v>
      </c>
      <c r="D338" s="70" t="s">
        <v>403</v>
      </c>
      <c r="E338" s="70" t="s">
        <v>1235</v>
      </c>
      <c r="H338" s="93" t="s">
        <v>1244</v>
      </c>
      <c r="I338" s="70">
        <v>15000020</v>
      </c>
    </row>
    <row r="339" spans="2:9" x14ac:dyDescent="0.35">
      <c r="B339" s="70">
        <v>15000030</v>
      </c>
      <c r="C339" s="92" t="s">
        <v>391</v>
      </c>
      <c r="D339" s="70" t="s">
        <v>403</v>
      </c>
      <c r="E339" s="70" t="s">
        <v>1235</v>
      </c>
      <c r="H339" s="93" t="s">
        <v>1245</v>
      </c>
      <c r="I339" s="70">
        <v>15000030</v>
      </c>
    </row>
    <row r="340" spans="2:9" x14ac:dyDescent="0.35">
      <c r="B340" s="70">
        <v>15000040</v>
      </c>
      <c r="C340" s="92" t="s">
        <v>392</v>
      </c>
      <c r="D340" s="70" t="s">
        <v>403</v>
      </c>
      <c r="E340" s="70" t="s">
        <v>1235</v>
      </c>
      <c r="H340" s="93" t="s">
        <v>1246</v>
      </c>
      <c r="I340" s="70">
        <v>15000040</v>
      </c>
    </row>
    <row r="341" spans="2:9" x14ac:dyDescent="0.35">
      <c r="B341" s="70">
        <v>15000050</v>
      </c>
      <c r="C341" s="92" t="s">
        <v>393</v>
      </c>
      <c r="D341" s="70" t="s">
        <v>403</v>
      </c>
      <c r="E341" s="70" t="s">
        <v>1235</v>
      </c>
      <c r="H341" s="93" t="s">
        <v>1247</v>
      </c>
      <c r="I341" s="70">
        <v>15000050</v>
      </c>
    </row>
    <row r="342" spans="2:9" x14ac:dyDescent="0.35">
      <c r="B342" s="70">
        <v>15000060</v>
      </c>
      <c r="C342" s="92" t="s">
        <v>394</v>
      </c>
      <c r="D342" s="70" t="s">
        <v>403</v>
      </c>
      <c r="E342" s="70" t="s">
        <v>1235</v>
      </c>
      <c r="H342" s="93" t="s">
        <v>1248</v>
      </c>
      <c r="I342" s="70">
        <v>15000060</v>
      </c>
    </row>
    <row r="343" spans="2:9" x14ac:dyDescent="0.35">
      <c r="B343" s="70">
        <v>15000070</v>
      </c>
      <c r="C343" s="92" t="s">
        <v>395</v>
      </c>
      <c r="D343" s="70" t="s">
        <v>403</v>
      </c>
      <c r="E343" s="70" t="s">
        <v>1235</v>
      </c>
      <c r="H343" s="93" t="s">
        <v>1249</v>
      </c>
      <c r="I343" s="70">
        <v>15000070</v>
      </c>
    </row>
    <row r="344" spans="2:9" x14ac:dyDescent="0.35">
      <c r="B344" s="70">
        <v>15000080</v>
      </c>
      <c r="C344" s="92" t="s">
        <v>396</v>
      </c>
      <c r="D344" s="70" t="s">
        <v>403</v>
      </c>
      <c r="E344" s="70" t="s">
        <v>1235</v>
      </c>
      <c r="H344" s="93" t="s">
        <v>1250</v>
      </c>
      <c r="I344" s="70">
        <v>15000080</v>
      </c>
    </row>
    <row r="345" spans="2:9" x14ac:dyDescent="0.35">
      <c r="B345" s="70">
        <v>15200000</v>
      </c>
      <c r="C345" s="92" t="s">
        <v>397</v>
      </c>
      <c r="D345" s="70" t="s">
        <v>403</v>
      </c>
      <c r="E345" s="70" t="s">
        <v>1235</v>
      </c>
      <c r="H345" s="93" t="s">
        <v>1251</v>
      </c>
      <c r="I345" s="70">
        <v>15200000</v>
      </c>
    </row>
    <row r="346" spans="2:9" ht="29" x14ac:dyDescent="0.35">
      <c r="B346" s="70">
        <v>15020010</v>
      </c>
      <c r="C346" s="92" t="s">
        <v>398</v>
      </c>
      <c r="D346" s="70" t="s">
        <v>192</v>
      </c>
      <c r="E346" s="70" t="s">
        <v>1235</v>
      </c>
      <c r="H346" s="93">
        <v>6026</v>
      </c>
      <c r="I346" s="70">
        <v>15020010</v>
      </c>
    </row>
    <row r="347" spans="2:9" ht="29" x14ac:dyDescent="0.35">
      <c r="B347" s="70">
        <v>15020020</v>
      </c>
      <c r="C347" s="92" t="s">
        <v>399</v>
      </c>
      <c r="D347" s="70" t="s">
        <v>192</v>
      </c>
      <c r="E347" s="70" t="s">
        <v>1235</v>
      </c>
      <c r="H347" s="93">
        <v>6126</v>
      </c>
      <c r="I347" s="70">
        <v>15020020</v>
      </c>
    </row>
    <row r="348" spans="2:9" ht="29" x14ac:dyDescent="0.35">
      <c r="B348" s="70">
        <v>15020030</v>
      </c>
      <c r="C348" s="92" t="s">
        <v>400</v>
      </c>
      <c r="D348" s="70" t="s">
        <v>192</v>
      </c>
      <c r="E348" s="70" t="s">
        <v>1235</v>
      </c>
      <c r="H348" s="93">
        <v>6226</v>
      </c>
      <c r="I348" s="70">
        <v>15020030</v>
      </c>
    </row>
    <row r="349" spans="2:9" ht="29" x14ac:dyDescent="0.35">
      <c r="B349" s="70">
        <v>15020040</v>
      </c>
      <c r="C349" s="92" t="s">
        <v>401</v>
      </c>
      <c r="D349" s="70" t="s">
        <v>192</v>
      </c>
      <c r="E349" s="70" t="s">
        <v>1235</v>
      </c>
      <c r="H349" s="93">
        <v>6326</v>
      </c>
      <c r="I349" s="70">
        <v>15020040</v>
      </c>
    </row>
    <row r="350" spans="2:9" ht="29" x14ac:dyDescent="0.35">
      <c r="B350" s="70">
        <v>15020080</v>
      </c>
      <c r="C350" s="92" t="s">
        <v>402</v>
      </c>
      <c r="D350" s="70" t="s">
        <v>192</v>
      </c>
      <c r="E350" s="70" t="s">
        <v>1235</v>
      </c>
      <c r="H350" s="93">
        <v>6426</v>
      </c>
      <c r="I350" s="70">
        <v>15020080</v>
      </c>
    </row>
    <row r="351" spans="2:9" ht="29" x14ac:dyDescent="0.35">
      <c r="B351" s="94">
        <v>15020090</v>
      </c>
      <c r="C351" s="95" t="s">
        <v>422</v>
      </c>
      <c r="D351" s="70" t="s">
        <v>192</v>
      </c>
      <c r="E351" s="94" t="s">
        <v>1235</v>
      </c>
      <c r="H351" s="96">
        <v>6526</v>
      </c>
      <c r="I351" s="94">
        <v>15020090</v>
      </c>
    </row>
    <row r="354" spans="2:9" s="82" customFormat="1" x14ac:dyDescent="0.35">
      <c r="B354" s="81" t="s">
        <v>1236</v>
      </c>
      <c r="H354" s="83"/>
      <c r="I354" s="83"/>
    </row>
    <row r="356" spans="2:9" x14ac:dyDescent="0.35">
      <c r="B356" s="2" t="s">
        <v>338</v>
      </c>
      <c r="C356" s="2" t="s">
        <v>425</v>
      </c>
    </row>
    <row r="357" spans="2:9" x14ac:dyDescent="0.35">
      <c r="B357" s="1" t="s">
        <v>426</v>
      </c>
      <c r="C357" s="1" t="s">
        <v>429</v>
      </c>
    </row>
    <row r="358" spans="2:9" x14ac:dyDescent="0.35">
      <c r="B358" s="1" t="s">
        <v>427</v>
      </c>
      <c r="C358" s="1" t="s">
        <v>430</v>
      </c>
    </row>
    <row r="359" spans="2:9" x14ac:dyDescent="0.35">
      <c r="B359" s="1" t="s">
        <v>428</v>
      </c>
      <c r="C359" s="1" t="s">
        <v>431</v>
      </c>
    </row>
    <row r="362" spans="2:9" s="82" customFormat="1" x14ac:dyDescent="0.35">
      <c r="B362" s="81" t="s">
        <v>432</v>
      </c>
      <c r="H362" s="83"/>
      <c r="I362" s="83"/>
    </row>
    <row r="364" spans="2:9" x14ac:dyDescent="0.35">
      <c r="B364" s="97" t="s">
        <v>1237</v>
      </c>
      <c r="C364" s="97" t="s">
        <v>1238</v>
      </c>
    </row>
    <row r="365" spans="2:9" x14ac:dyDescent="0.35">
      <c r="B365" t="s">
        <v>436</v>
      </c>
      <c r="C365" t="s">
        <v>436</v>
      </c>
    </row>
    <row r="366" spans="2:9" x14ac:dyDescent="0.35">
      <c r="B366" t="s">
        <v>435</v>
      </c>
      <c r="C366" t="s">
        <v>433</v>
      </c>
    </row>
    <row r="367" spans="2:9" x14ac:dyDescent="0.35">
      <c r="B367" t="s">
        <v>433</v>
      </c>
      <c r="C367" t="s">
        <v>434</v>
      </c>
    </row>
    <row r="368" spans="2:9" x14ac:dyDescent="0.35">
      <c r="B368" t="s">
        <v>434</v>
      </c>
    </row>
    <row r="371" spans="2:9" s="82" customFormat="1" x14ac:dyDescent="0.35">
      <c r="B371" s="81" t="s">
        <v>493</v>
      </c>
      <c r="H371" s="83"/>
      <c r="I371" s="83"/>
    </row>
    <row r="372" spans="2:9" x14ac:dyDescent="0.35">
      <c r="B372" s="85" t="s">
        <v>182</v>
      </c>
    </row>
    <row r="373" spans="2:9" x14ac:dyDescent="0.35">
      <c r="B373" s="85" t="s">
        <v>443</v>
      </c>
    </row>
  </sheetData>
  <sortState xmlns:xlrd2="http://schemas.microsoft.com/office/spreadsheetml/2017/richdata2" ref="O59:P146">
    <sortCondition ref="O59:O146"/>
  </sortState>
  <conditionalFormatting sqref="I133">
    <cfRule type="duplicateValues" dxfId="1" priority="1"/>
  </conditionalFormatting>
  <conditionalFormatting sqref="I59:I132 I134:I146">
    <cfRule type="duplicateValues" dxfId="0" priority="17"/>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Guidance (Indonesia)</vt:lpstr>
      <vt:lpstr>Guidance (English)</vt:lpstr>
      <vt:lpstr>Asset determination</vt:lpstr>
      <vt:lpstr>Cover</vt:lpstr>
      <vt:lpstr>Budget Capex Detail</vt:lpstr>
      <vt:lpstr>Budget Opex Detail</vt:lpstr>
      <vt:lpstr>Activity Master Opex</vt:lpstr>
      <vt:lpstr>Master Data</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Ajeng Nugraheni</cp:lastModifiedBy>
  <dcterms:created xsi:type="dcterms:W3CDTF">2023-07-25T08:22:13Z</dcterms:created>
  <dcterms:modified xsi:type="dcterms:W3CDTF">2025-08-04T04:56:28Z</dcterms:modified>
</cp:coreProperties>
</file>
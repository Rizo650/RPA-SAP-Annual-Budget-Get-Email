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G:\GYS\FPA\Budget\2026\0. Master Budget Blank Template\HO\"/>
    </mc:Choice>
  </mc:AlternateContent>
  <xr:revisionPtr revIDLastSave="0" documentId="13_ncr:1_{0508DF04-82AF-4292-9BF9-2C3B9ED7A201}" xr6:coauthVersionLast="47" xr6:coauthVersionMax="47" xr10:uidLastSave="{00000000-0000-0000-0000-000000000000}"/>
  <bookViews>
    <workbookView xWindow="-110" yWindow="-110" windowWidth="19420" windowHeight="10300" tabRatio="749" xr2:uid="{00000000-000D-0000-FFFF-FFFF00000000}"/>
  </bookViews>
  <sheets>
    <sheet name="Guidance (Indonesia)" sheetId="23" r:id="rId1"/>
    <sheet name="Guidance (English)" sheetId="24" r:id="rId2"/>
    <sheet name="Asset determination" sheetId="21" r:id="rId3"/>
    <sheet name="Cover" sheetId="3" r:id="rId4"/>
    <sheet name="Budget Capex Detail" sheetId="10" r:id="rId5"/>
    <sheet name="Budget Opex Detail" sheetId="7" r:id="rId6"/>
    <sheet name="Activity Master Opex" sheetId="8" r:id="rId7"/>
    <sheet name="Master Data" sheetId="22" r:id="rId8"/>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6" hidden="1">'Activity Master Opex'!$B$3:$G$64</definedName>
    <definedName name="_xlnm._FilterDatabase" localSheetId="4">'Budget Capex Detail'!$A$3:$BM$25</definedName>
    <definedName name="_xlnm._FilterDatabase" localSheetId="5" hidden="1">'Budget Opex Detail'!$A$3:$AR$64</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64" i="7" l="1"/>
  <c r="BS64" i="7"/>
  <c r="BR64" i="7"/>
  <c r="BT63" i="7"/>
  <c r="BS63" i="7"/>
  <c r="BR63" i="7"/>
  <c r="BT62" i="7"/>
  <c r="BS62" i="7"/>
  <c r="BR62" i="7"/>
  <c r="BT61" i="7"/>
  <c r="BS61" i="7"/>
  <c r="BR61" i="7"/>
  <c r="BT60" i="7"/>
  <c r="BS60" i="7"/>
  <c r="BR60" i="7"/>
  <c r="BT59" i="7"/>
  <c r="BS59" i="7"/>
  <c r="BR59" i="7"/>
  <c r="BT58" i="7"/>
  <c r="BS58" i="7"/>
  <c r="BR58" i="7"/>
  <c r="BT57" i="7"/>
  <c r="BS57" i="7"/>
  <c r="BR57" i="7"/>
  <c r="BT56" i="7"/>
  <c r="BS56" i="7"/>
  <c r="BR56" i="7"/>
  <c r="BT55" i="7"/>
  <c r="BS55" i="7"/>
  <c r="BR55" i="7"/>
  <c r="BT54" i="7"/>
  <c r="BS54" i="7"/>
  <c r="BR54" i="7"/>
  <c r="BT53" i="7"/>
  <c r="BS53" i="7"/>
  <c r="BR53" i="7"/>
  <c r="BT52" i="7"/>
  <c r="BS52" i="7"/>
  <c r="BR52" i="7"/>
  <c r="BT51" i="7"/>
  <c r="BS51" i="7"/>
  <c r="BR51" i="7"/>
  <c r="BT50" i="7"/>
  <c r="BS50" i="7"/>
  <c r="BR50" i="7"/>
  <c r="BT49" i="7"/>
  <c r="BS49" i="7"/>
  <c r="BR49" i="7"/>
  <c r="BT48" i="7"/>
  <c r="BS48" i="7"/>
  <c r="BR48" i="7"/>
  <c r="BT47" i="7"/>
  <c r="BS47" i="7"/>
  <c r="BR47" i="7"/>
  <c r="BT46" i="7"/>
  <c r="BS46" i="7"/>
  <c r="BR46" i="7"/>
  <c r="BT45" i="7"/>
  <c r="BS45" i="7"/>
  <c r="BR45" i="7"/>
  <c r="BT44" i="7"/>
  <c r="BS44" i="7"/>
  <c r="BR44" i="7"/>
  <c r="BT43" i="7"/>
  <c r="BS43" i="7"/>
  <c r="BR43" i="7"/>
  <c r="BT42" i="7"/>
  <c r="BS42" i="7"/>
  <c r="BR42" i="7"/>
  <c r="BT41" i="7"/>
  <c r="BS41" i="7"/>
  <c r="BR41" i="7"/>
  <c r="BT40" i="7"/>
  <c r="BS40" i="7"/>
  <c r="BR40" i="7"/>
  <c r="BT39" i="7"/>
  <c r="BS39" i="7"/>
  <c r="BR39" i="7"/>
  <c r="BT38" i="7"/>
  <c r="BS38" i="7"/>
  <c r="BR38" i="7"/>
  <c r="BT37" i="7"/>
  <c r="BS37" i="7"/>
  <c r="BR37" i="7"/>
  <c r="BT36" i="7"/>
  <c r="BS36" i="7"/>
  <c r="BR36" i="7"/>
  <c r="BT35" i="7"/>
  <c r="BS35" i="7"/>
  <c r="BR35" i="7"/>
  <c r="BT34" i="7"/>
  <c r="BS34" i="7"/>
  <c r="BR34" i="7"/>
  <c r="BT33" i="7"/>
  <c r="BS33" i="7"/>
  <c r="BR33" i="7"/>
  <c r="BT32" i="7"/>
  <c r="BS32" i="7"/>
  <c r="BR32" i="7"/>
  <c r="BT31" i="7"/>
  <c r="BS31" i="7"/>
  <c r="BR31" i="7"/>
  <c r="BT30" i="7"/>
  <c r="BS30" i="7"/>
  <c r="BR30" i="7"/>
  <c r="BT29" i="7"/>
  <c r="BS29" i="7"/>
  <c r="BR29" i="7"/>
  <c r="BT28" i="7"/>
  <c r="BS28" i="7"/>
  <c r="BR28" i="7"/>
  <c r="BT27" i="7"/>
  <c r="BS27" i="7"/>
  <c r="BR27" i="7"/>
  <c r="BT26" i="7"/>
  <c r="BS26" i="7"/>
  <c r="BR26" i="7"/>
  <c r="BT25" i="7"/>
  <c r="BS25" i="7"/>
  <c r="BR25" i="7"/>
  <c r="BT24" i="7"/>
  <c r="BS24" i="7"/>
  <c r="BR24" i="7"/>
  <c r="BT23" i="7"/>
  <c r="BS23" i="7"/>
  <c r="BR23" i="7"/>
  <c r="BT22" i="7"/>
  <c r="BS22" i="7"/>
  <c r="BR22" i="7"/>
  <c r="BT21" i="7"/>
  <c r="BS21" i="7"/>
  <c r="BR21" i="7"/>
  <c r="BT20" i="7"/>
  <c r="BS20" i="7"/>
  <c r="BR20" i="7"/>
  <c r="BT19" i="7"/>
  <c r="BS19" i="7"/>
  <c r="BR19" i="7"/>
  <c r="BT18" i="7"/>
  <c r="BS18" i="7"/>
  <c r="BR18" i="7"/>
  <c r="BT17" i="7"/>
  <c r="BS17" i="7"/>
  <c r="BR17" i="7"/>
  <c r="BT16" i="7"/>
  <c r="BS16" i="7"/>
  <c r="BR16" i="7"/>
  <c r="BT15" i="7"/>
  <c r="BS15" i="7"/>
  <c r="BR15" i="7"/>
  <c r="BT14" i="7"/>
  <c r="BS14" i="7"/>
  <c r="BR14" i="7"/>
  <c r="BT13" i="7"/>
  <c r="BS13" i="7"/>
  <c r="BR13" i="7"/>
  <c r="BT12" i="7"/>
  <c r="BS12" i="7"/>
  <c r="BR12" i="7"/>
  <c r="BT11" i="7"/>
  <c r="BS11" i="7"/>
  <c r="BR11" i="7"/>
  <c r="BT10" i="7"/>
  <c r="BS10" i="7"/>
  <c r="BR10" i="7"/>
  <c r="BT9" i="7"/>
  <c r="BS9" i="7"/>
  <c r="BR9" i="7"/>
  <c r="BT8" i="7"/>
  <c r="BS8" i="7"/>
  <c r="BR8" i="7"/>
  <c r="BT7" i="7"/>
  <c r="BS7" i="7"/>
  <c r="BR7" i="7"/>
  <c r="BT6" i="7"/>
  <c r="BS6" i="7"/>
  <c r="BR6" i="7"/>
  <c r="BT5" i="7"/>
  <c r="BS5" i="7"/>
  <c r="BR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5" i="8"/>
  <c r="E4" i="8"/>
  <c r="D25" i="10"/>
  <c r="E25" i="10" s="1"/>
  <c r="D24" i="10"/>
  <c r="E24" i="10" s="1"/>
  <c r="D23" i="10"/>
  <c r="E23" i="10" s="1"/>
  <c r="D22" i="10"/>
  <c r="E22" i="10" s="1"/>
  <c r="D21" i="10"/>
  <c r="E21" i="10" s="1"/>
  <c r="D20" i="10"/>
  <c r="E20" i="10" s="1"/>
  <c r="D19" i="10"/>
  <c r="E19" i="10" s="1"/>
  <c r="D18" i="10"/>
  <c r="E18" i="10" s="1"/>
  <c r="D17" i="10"/>
  <c r="E17" i="10" s="1"/>
  <c r="D16" i="10"/>
  <c r="E16" i="10" s="1"/>
  <c r="D15" i="10"/>
  <c r="E15" i="10" s="1"/>
  <c r="D14" i="10"/>
  <c r="E14" i="10" s="1"/>
  <c r="D13" i="10"/>
  <c r="E13" i="10" s="1"/>
  <c r="D12" i="10"/>
  <c r="E12" i="10" s="1"/>
  <c r="D11" i="10"/>
  <c r="E11" i="10" s="1"/>
  <c r="D10" i="10"/>
  <c r="E10" i="10" s="1"/>
  <c r="D9" i="10"/>
  <c r="E9" i="10" s="1"/>
  <c r="D8" i="10"/>
  <c r="E8" i="10" s="1"/>
  <c r="D7" i="10"/>
  <c r="E7" i="10" s="1"/>
  <c r="D6" i="10"/>
  <c r="E6" i="10" s="1"/>
  <c r="D5" i="10"/>
  <c r="E5" i="10" s="1"/>
  <c r="D4" i="10"/>
  <c r="E4" i="10" s="1"/>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 i="8"/>
  <c r="I145" i="22"/>
  <c r="J145" i="22"/>
  <c r="L145" i="22"/>
  <c r="I146" i="22"/>
  <c r="J146" i="22"/>
  <c r="L146" i="22"/>
  <c r="B31" i="22"/>
  <c r="C50" i="24"/>
  <c r="C50" i="23"/>
  <c r="E4" i="7"/>
  <c r="F77" i="8" l="1"/>
  <c r="F76" i="8"/>
  <c r="F75" i="8"/>
  <c r="F74" i="8"/>
  <c r="F73" i="8"/>
  <c r="F72" i="8"/>
  <c r="F71" i="8"/>
  <c r="F70" i="8"/>
  <c r="F69" i="8"/>
  <c r="F68" i="8"/>
  <c r="F63" i="8"/>
  <c r="F62" i="8"/>
  <c r="F61" i="8"/>
  <c r="F60" i="8"/>
  <c r="F59" i="8"/>
  <c r="F58" i="8"/>
  <c r="F57" i="8"/>
  <c r="F56" i="8"/>
  <c r="F55" i="8"/>
  <c r="F54" i="8"/>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H252" i="22"/>
  <c r="H305" i="22"/>
  <c r="H251" i="22" l="1"/>
  <c r="H290" i="22"/>
  <c r="BD25" i="10"/>
  <c r="BD24" i="10"/>
  <c r="BD23" i="10"/>
  <c r="BD22" i="10"/>
  <c r="BD21" i="10"/>
  <c r="BD20" i="10"/>
  <c r="BD19" i="10"/>
  <c r="BD18" i="10"/>
  <c r="BD17" i="10"/>
  <c r="BD16" i="10"/>
  <c r="BD15" i="10"/>
  <c r="BD14" i="10"/>
  <c r="BD13" i="10"/>
  <c r="BD12" i="10"/>
  <c r="BD11" i="10"/>
  <c r="BD10" i="10"/>
  <c r="BD9" i="10"/>
  <c r="BD8" i="10"/>
  <c r="BD7" i="10"/>
  <c r="BD6" i="10"/>
  <c r="BD5" i="10"/>
  <c r="BD4" i="10"/>
  <c r="L133" i="22"/>
  <c r="J133" i="22"/>
  <c r="I133" i="22"/>
  <c r="I144" i="22"/>
  <c r="I143" i="22"/>
  <c r="I142" i="22"/>
  <c r="I141" i="22"/>
  <c r="I140" i="22"/>
  <c r="I139" i="22"/>
  <c r="I138" i="22"/>
  <c r="I137" i="22"/>
  <c r="I136" i="22"/>
  <c r="I135" i="22"/>
  <c r="I134" i="22"/>
  <c r="I132" i="22"/>
  <c r="I131" i="22"/>
  <c r="I130" i="22"/>
  <c r="I129" i="22"/>
  <c r="I128" i="22"/>
  <c r="I127" i="22"/>
  <c r="I126" i="22"/>
  <c r="I125" i="22"/>
  <c r="I124" i="22"/>
  <c r="I123" i="22"/>
  <c r="I122" i="22"/>
  <c r="I121" i="22"/>
  <c r="I120" i="22"/>
  <c r="I119" i="22"/>
  <c r="I118" i="22"/>
  <c r="I117" i="22"/>
  <c r="I116" i="22"/>
  <c r="I115" i="22"/>
  <c r="I114" i="22"/>
  <c r="I113" i="22"/>
  <c r="I112" i="22"/>
  <c r="I111" i="22"/>
  <c r="I110" i="22"/>
  <c r="I109" i="22"/>
  <c r="I108" i="22"/>
  <c r="I107" i="22"/>
  <c r="I106" i="22"/>
  <c r="I105" i="22"/>
  <c r="I104" i="22"/>
  <c r="I103" i="22"/>
  <c r="I102" i="22"/>
  <c r="I101" i="22"/>
  <c r="I100" i="22"/>
  <c r="I99" i="22"/>
  <c r="I98" i="22"/>
  <c r="I97" i="22"/>
  <c r="I96" i="22"/>
  <c r="I95" i="22"/>
  <c r="I94" i="22"/>
  <c r="I93" i="22"/>
  <c r="I92" i="22"/>
  <c r="I91" i="22"/>
  <c r="I90" i="22"/>
  <c r="I89" i="22"/>
  <c r="I88" i="22"/>
  <c r="I87" i="22"/>
  <c r="I86" i="22"/>
  <c r="I85" i="22"/>
  <c r="I84" i="22"/>
  <c r="I83" i="22"/>
  <c r="I82" i="22"/>
  <c r="I81" i="22"/>
  <c r="I80" i="22"/>
  <c r="I79" i="22"/>
  <c r="I78" i="22"/>
  <c r="I77" i="22"/>
  <c r="I76" i="22"/>
  <c r="I75" i="22"/>
  <c r="I74" i="22"/>
  <c r="I73" i="22"/>
  <c r="I72" i="22"/>
  <c r="I71" i="22"/>
  <c r="I70" i="22"/>
  <c r="I69" i="22"/>
  <c r="I68" i="22"/>
  <c r="I67" i="22"/>
  <c r="I66" i="22"/>
  <c r="I65" i="22"/>
  <c r="I64" i="22"/>
  <c r="I63" i="22"/>
  <c r="I62" i="22"/>
  <c r="I61" i="22"/>
  <c r="I60" i="22"/>
  <c r="I59" i="22"/>
  <c r="I47" i="8"/>
  <c r="BL64" i="7"/>
  <c r="BL63" i="7"/>
  <c r="BL62" i="7"/>
  <c r="BL61" i="7"/>
  <c r="BL60" i="7"/>
  <c r="BL59" i="7"/>
  <c r="BL58" i="7"/>
  <c r="BL57" i="7"/>
  <c r="BL56" i="7"/>
  <c r="BL55" i="7"/>
  <c r="BL54" i="7"/>
  <c r="BL53" i="7"/>
  <c r="BL52" i="7"/>
  <c r="BL51" i="7"/>
  <c r="BL50" i="7"/>
  <c r="BL49" i="7"/>
  <c r="BL48" i="7"/>
  <c r="BL47" i="7"/>
  <c r="BL46" i="7"/>
  <c r="BL45" i="7"/>
  <c r="BL44" i="7"/>
  <c r="BL43" i="7"/>
  <c r="BL42" i="7"/>
  <c r="BL41" i="7"/>
  <c r="BL40" i="7"/>
  <c r="BL39" i="7"/>
  <c r="BL38" i="7"/>
  <c r="BL37" i="7"/>
  <c r="BL36" i="7"/>
  <c r="BL35" i="7"/>
  <c r="BL34" i="7"/>
  <c r="BL33" i="7"/>
  <c r="BL32" i="7"/>
  <c r="BL31" i="7"/>
  <c r="BL30" i="7"/>
  <c r="BL29" i="7"/>
  <c r="BL28" i="7"/>
  <c r="BL27" i="7"/>
  <c r="BL26" i="7"/>
  <c r="BL25" i="7"/>
  <c r="BL24" i="7"/>
  <c r="BL23" i="7"/>
  <c r="BL22" i="7"/>
  <c r="BL21" i="7"/>
  <c r="BL20" i="7"/>
  <c r="BL19" i="7"/>
  <c r="BL18" i="7"/>
  <c r="BL17" i="7"/>
  <c r="BL16" i="7"/>
  <c r="BL15" i="7"/>
  <c r="BL14" i="7"/>
  <c r="BL13" i="7"/>
  <c r="BL12" i="7"/>
  <c r="BL11" i="7"/>
  <c r="BL10" i="7"/>
  <c r="BL9" i="7"/>
  <c r="BL8" i="7"/>
  <c r="BL7" i="7"/>
  <c r="BL6" i="7"/>
  <c r="BL5" i="7"/>
  <c r="BL4" i="7"/>
  <c r="BI25" i="10"/>
  <c r="BI24" i="10"/>
  <c r="BI23" i="10"/>
  <c r="BI22" i="10"/>
  <c r="BI21" i="10"/>
  <c r="BI20" i="10"/>
  <c r="BI19" i="10"/>
  <c r="BI18" i="10"/>
  <c r="BI17" i="10"/>
  <c r="BI16" i="10"/>
  <c r="BI15" i="10"/>
  <c r="BI14" i="10"/>
  <c r="BI13" i="10"/>
  <c r="BI12" i="10"/>
  <c r="BI11" i="10"/>
  <c r="BI10" i="10"/>
  <c r="BI9" i="10"/>
  <c r="BI8" i="10"/>
  <c r="BI7" i="10"/>
  <c r="BI6" i="10"/>
  <c r="BI5" i="10"/>
  <c r="BI4" i="10"/>
  <c r="L84" i="22"/>
  <c r="J84" i="22"/>
  <c r="I17" i="8" l="1"/>
  <c r="I7" i="8"/>
  <c r="I9" i="8"/>
  <c r="I25" i="8"/>
  <c r="I33" i="8"/>
  <c r="I41" i="8"/>
  <c r="I10" i="8"/>
  <c r="I18" i="8"/>
  <c r="I26" i="8"/>
  <c r="I34" i="8"/>
  <c r="I42" i="8"/>
  <c r="I11" i="8"/>
  <c r="I35" i="8"/>
  <c r="I43" i="8"/>
  <c r="I19" i="8"/>
  <c r="I4" i="8"/>
  <c r="I12" i="8"/>
  <c r="I20" i="8"/>
  <c r="I28" i="8"/>
  <c r="I36" i="8"/>
  <c r="I44" i="8"/>
  <c r="I27" i="8"/>
  <c r="I5" i="8"/>
  <c r="I13" i="8"/>
  <c r="I21" i="8"/>
  <c r="I29" i="8"/>
  <c r="I37" i="8"/>
  <c r="I45" i="8"/>
  <c r="I6" i="8"/>
  <c r="I14" i="8"/>
  <c r="I22" i="8"/>
  <c r="I30" i="8"/>
  <c r="I38" i="8"/>
  <c r="I46" i="8"/>
  <c r="I15" i="8"/>
  <c r="I23" i="8"/>
  <c r="I31" i="8"/>
  <c r="I39" i="8"/>
  <c r="I48" i="8"/>
  <c r="I8" i="8"/>
  <c r="I16" i="8"/>
  <c r="I24" i="8"/>
  <c r="I32" i="8"/>
  <c r="I40" i="8"/>
  <c r="D77" i="8"/>
  <c r="D76" i="8"/>
  <c r="D75" i="8"/>
  <c r="D74" i="8"/>
  <c r="D73" i="8"/>
  <c r="D72" i="8"/>
  <c r="D71" i="8"/>
  <c r="D70" i="8"/>
  <c r="D69" i="8"/>
  <c r="D68" i="8"/>
  <c r="D63" i="8"/>
  <c r="D62" i="8"/>
  <c r="D61" i="8"/>
  <c r="D60" i="8"/>
  <c r="D59" i="8"/>
  <c r="D58" i="8"/>
  <c r="D57" i="8"/>
  <c r="D56" i="8"/>
  <c r="D55" i="8"/>
  <c r="D54" i="8"/>
  <c r="I77" i="8"/>
  <c r="I76" i="8"/>
  <c r="I73" i="8"/>
  <c r="I72" i="8"/>
  <c r="I71" i="8"/>
  <c r="I70" i="8"/>
  <c r="I69" i="8"/>
  <c r="I68" i="8"/>
  <c r="I63" i="8"/>
  <c r="I61" i="8"/>
  <c r="I59" i="8"/>
  <c r="I58" i="8"/>
  <c r="I57" i="8"/>
  <c r="I56" i="8"/>
  <c r="I55" i="8"/>
  <c r="I54" i="8"/>
  <c r="A5" i="10" l="1"/>
  <c r="H5" i="10"/>
  <c r="J5" i="10" s="1"/>
  <c r="H6" i="10"/>
  <c r="J6" i="10" s="1"/>
  <c r="B7" i="10"/>
  <c r="H7" i="10"/>
  <c r="I7" i="10" s="1"/>
  <c r="C8" i="10"/>
  <c r="B8" i="10"/>
  <c r="H8" i="10"/>
  <c r="J8" i="10" s="1"/>
  <c r="C9" i="10"/>
  <c r="A9" i="10"/>
  <c r="H9" i="10"/>
  <c r="J9" i="10" s="1"/>
  <c r="C10" i="10"/>
  <c r="H10" i="10"/>
  <c r="I10" i="10" s="1"/>
  <c r="C11" i="10"/>
  <c r="B11" i="10"/>
  <c r="H11" i="10"/>
  <c r="I11" i="10" s="1"/>
  <c r="C12" i="10"/>
  <c r="A12" i="10"/>
  <c r="H12" i="10"/>
  <c r="J12" i="10" s="1"/>
  <c r="C13" i="10"/>
  <c r="A13" i="10"/>
  <c r="H13" i="10"/>
  <c r="J13" i="10" s="1"/>
  <c r="C14" i="10"/>
  <c r="H14" i="10"/>
  <c r="I14" i="10" s="1"/>
  <c r="C15" i="10"/>
  <c r="B15" i="10"/>
  <c r="H15" i="10"/>
  <c r="I15" i="10" s="1"/>
  <c r="C16" i="10"/>
  <c r="B16" i="10"/>
  <c r="H16" i="10"/>
  <c r="J16" i="10" s="1"/>
  <c r="C17" i="10"/>
  <c r="A17" i="10"/>
  <c r="H17" i="10"/>
  <c r="J17" i="10" s="1"/>
  <c r="C18" i="10"/>
  <c r="H18" i="10"/>
  <c r="I18" i="10" s="1"/>
  <c r="C19" i="10"/>
  <c r="B19" i="10"/>
  <c r="H19" i="10"/>
  <c r="I19" i="10" s="1"/>
  <c r="C20" i="10"/>
  <c r="A20" i="10"/>
  <c r="H20" i="10"/>
  <c r="J20" i="10" s="1"/>
  <c r="C21" i="10"/>
  <c r="A21" i="10"/>
  <c r="H21" i="10"/>
  <c r="J21" i="10" s="1"/>
  <c r="C22" i="10"/>
  <c r="H22" i="10"/>
  <c r="I22" i="10" s="1"/>
  <c r="C23" i="10"/>
  <c r="B23" i="10"/>
  <c r="H23" i="10"/>
  <c r="I23" i="10" s="1"/>
  <c r="C24" i="10"/>
  <c r="B24" i="10"/>
  <c r="H24" i="10"/>
  <c r="J24" i="10" s="1"/>
  <c r="C25" i="10"/>
  <c r="A25" i="10"/>
  <c r="H25" i="10"/>
  <c r="J25" i="10" s="1"/>
  <c r="I13" i="10" l="1"/>
  <c r="L13" i="10" s="1"/>
  <c r="I17" i="10"/>
  <c r="L17" i="10" s="1"/>
  <c r="I16" i="10"/>
  <c r="L16" i="10" s="1"/>
  <c r="I12" i="10"/>
  <c r="L12" i="10" s="1"/>
  <c r="I25" i="10"/>
  <c r="L25" i="10" s="1"/>
  <c r="I9" i="10"/>
  <c r="L9" i="10" s="1"/>
  <c r="I24" i="10"/>
  <c r="L24" i="10" s="1"/>
  <c r="I21" i="10"/>
  <c r="L21" i="10" s="1"/>
  <c r="I20" i="10"/>
  <c r="L20" i="10" s="1"/>
  <c r="B18" i="10"/>
  <c r="A22" i="10"/>
  <c r="A23" i="10"/>
  <c r="A15" i="10"/>
  <c r="A7" i="10"/>
  <c r="J22" i="10"/>
  <c r="L22" i="10" s="1"/>
  <c r="J18" i="10"/>
  <c r="L18" i="10" s="1"/>
  <c r="J14" i="10"/>
  <c r="L14" i="10" s="1"/>
  <c r="J10" i="10"/>
  <c r="L10" i="10" s="1"/>
  <c r="I8" i="10"/>
  <c r="L8" i="10" s="1"/>
  <c r="B22" i="10"/>
  <c r="B14" i="10"/>
  <c r="B10" i="10"/>
  <c r="A18" i="10"/>
  <c r="A14" i="10"/>
  <c r="A10" i="10"/>
  <c r="A19" i="10"/>
  <c r="A11" i="10"/>
  <c r="I5" i="10"/>
  <c r="I6" i="10"/>
  <c r="L6" i="10" s="1"/>
  <c r="A6" i="10"/>
  <c r="B6" i="10"/>
  <c r="A24" i="10"/>
  <c r="B12" i="10"/>
  <c r="A16" i="10"/>
  <c r="A8" i="10"/>
  <c r="B25" i="10"/>
  <c r="J23" i="10"/>
  <c r="L23" i="10" s="1"/>
  <c r="B21" i="10"/>
  <c r="J19" i="10"/>
  <c r="L19" i="10" s="1"/>
  <c r="B17" i="10"/>
  <c r="J15" i="10"/>
  <c r="L15" i="10" s="1"/>
  <c r="B13" i="10"/>
  <c r="J11" i="10"/>
  <c r="L11" i="10" s="1"/>
  <c r="B9" i="10"/>
  <c r="J7" i="10"/>
  <c r="L7" i="10" s="1"/>
  <c r="B5" i="10"/>
  <c r="B20" i="10"/>
  <c r="L5" i="10" l="1"/>
  <c r="H4" i="10"/>
  <c r="J4" i="10" s="1"/>
  <c r="H331" i="22"/>
  <c r="H330" i="22"/>
  <c r="H329" i="22"/>
  <c r="H328" i="22"/>
  <c r="H327" i="22"/>
  <c r="H326" i="22"/>
  <c r="H325" i="22"/>
  <c r="H324" i="22"/>
  <c r="H323" i="22"/>
  <c r="H322" i="22"/>
  <c r="H321" i="22"/>
  <c r="H320" i="22"/>
  <c r="H319" i="22"/>
  <c r="H318" i="22"/>
  <c r="H317" i="22"/>
  <c r="H316" i="22"/>
  <c r="H315" i="22"/>
  <c r="H314" i="22"/>
  <c r="H313" i="22"/>
  <c r="H312" i="22"/>
  <c r="H311" i="22"/>
  <c r="H310" i="22"/>
  <c r="H309" i="22"/>
  <c r="H308" i="22"/>
  <c r="H307" i="22"/>
  <c r="H306" i="22"/>
  <c r="H304" i="22"/>
  <c r="H303" i="22"/>
  <c r="H302" i="22"/>
  <c r="H301" i="22"/>
  <c r="H300" i="22"/>
  <c r="H299" i="22"/>
  <c r="H298" i="22"/>
  <c r="H297" i="22"/>
  <c r="H296" i="22"/>
  <c r="H295" i="22"/>
  <c r="H294" i="22"/>
  <c r="H293" i="22"/>
  <c r="H292" i="22"/>
  <c r="H291"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4" i="22"/>
  <c r="H253" i="22"/>
  <c r="H250" i="22"/>
  <c r="H249" i="22"/>
  <c r="H248" i="22"/>
  <c r="H247" i="22"/>
  <c r="H246" i="22"/>
  <c r="H245" i="22"/>
  <c r="H244" i="22"/>
  <c r="H243" i="22"/>
  <c r="H242" i="22"/>
  <c r="H241" i="22"/>
  <c r="H240" i="22"/>
  <c r="H239" i="22"/>
  <c r="H238" i="22"/>
  <c r="H237" i="22"/>
  <c r="H236" i="22"/>
  <c r="H235" i="22"/>
  <c r="H234" i="22"/>
  <c r="H233" i="22"/>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H152" i="22"/>
  <c r="L144" i="22"/>
  <c r="J144" i="22"/>
  <c r="L143" i="22"/>
  <c r="J143" i="22"/>
  <c r="L142" i="22"/>
  <c r="J142" i="22"/>
  <c r="L141" i="22"/>
  <c r="J141" i="22"/>
  <c r="L140" i="22"/>
  <c r="J140" i="22"/>
  <c r="L139" i="22"/>
  <c r="J139" i="22"/>
  <c r="L138" i="22"/>
  <c r="J138" i="22"/>
  <c r="L137" i="22"/>
  <c r="J137" i="22"/>
  <c r="L136" i="22"/>
  <c r="J136" i="22"/>
  <c r="L135" i="22"/>
  <c r="J135" i="22"/>
  <c r="L134" i="22"/>
  <c r="J134" i="22"/>
  <c r="L132" i="22"/>
  <c r="J132" i="22"/>
  <c r="L131" i="22"/>
  <c r="J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C7" i="10" s="1"/>
  <c r="L101" i="22"/>
  <c r="J101" i="22"/>
  <c r="C6" i="10" s="1"/>
  <c r="L100" i="22"/>
  <c r="J100" i="22"/>
  <c r="C5" i="10" s="1"/>
  <c r="L99" i="22"/>
  <c r="J99" i="22"/>
  <c r="C4" i="10" s="1"/>
  <c r="L98" i="22"/>
  <c r="J98" i="22"/>
  <c r="L97" i="22"/>
  <c r="J97" i="22"/>
  <c r="L96" i="22"/>
  <c r="J96" i="22"/>
  <c r="L95" i="22"/>
  <c r="J95" i="22"/>
  <c r="L94" i="22"/>
  <c r="J94" i="22"/>
  <c r="L93" i="22"/>
  <c r="J93" i="22"/>
  <c r="L92" i="22"/>
  <c r="J92" i="22"/>
  <c r="L91" i="22"/>
  <c r="J91" i="22"/>
  <c r="L90" i="22"/>
  <c r="J90" i="22"/>
  <c r="L89" i="22"/>
  <c r="J89" i="22"/>
  <c r="L88" i="22"/>
  <c r="J88" i="22"/>
  <c r="L87" i="22"/>
  <c r="J87" i="22"/>
  <c r="L86" i="22"/>
  <c r="J86" i="22"/>
  <c r="L85" i="22"/>
  <c r="J85" i="22"/>
  <c r="L83" i="22"/>
  <c r="J83" i="22"/>
  <c r="L82" i="22"/>
  <c r="J82" i="22"/>
  <c r="L81" i="22"/>
  <c r="J81" i="22"/>
  <c r="L80" i="22"/>
  <c r="J80" i="22"/>
  <c r="L79" i="22"/>
  <c r="J79" i="22"/>
  <c r="L78" i="22"/>
  <c r="J78" i="22"/>
  <c r="L77" i="22"/>
  <c r="J77" i="22"/>
  <c r="L76" i="22"/>
  <c r="J76" i="22"/>
  <c r="L75" i="22"/>
  <c r="J75" i="22"/>
  <c r="L74" i="22"/>
  <c r="J74" i="22"/>
  <c r="L73" i="22"/>
  <c r="J73" i="22"/>
  <c r="L72" i="22"/>
  <c r="J72" i="22"/>
  <c r="L71" i="22"/>
  <c r="J71" i="22"/>
  <c r="L70" i="22"/>
  <c r="J70" i="22"/>
  <c r="L69" i="22"/>
  <c r="J69" i="22"/>
  <c r="L68" i="22"/>
  <c r="J68" i="22"/>
  <c r="L67" i="22"/>
  <c r="J67" i="22"/>
  <c r="L66" i="22"/>
  <c r="J66" i="22"/>
  <c r="L65" i="22"/>
  <c r="J65" i="22"/>
  <c r="L64" i="22"/>
  <c r="J64" i="22"/>
  <c r="L63" i="22"/>
  <c r="J63" i="22"/>
  <c r="L62" i="22"/>
  <c r="J62" i="22"/>
  <c r="L61" i="22"/>
  <c r="J61" i="22"/>
  <c r="L60" i="22"/>
  <c r="J60" i="22"/>
  <c r="L59" i="22"/>
  <c r="J59" i="22"/>
  <c r="A4" i="10" l="1"/>
  <c r="B4" i="10"/>
  <c r="I4" i="10"/>
  <c r="L4" i="10" s="1"/>
  <c r="BC25" i="10"/>
  <c r="AO25" i="10"/>
  <c r="AA25" i="10"/>
  <c r="BM25" i="10" s="1"/>
  <c r="BC24" i="10"/>
  <c r="AO24" i="10"/>
  <c r="AA24" i="10"/>
  <c r="BM24" i="10" s="1"/>
  <c r="BC23" i="10"/>
  <c r="AO23" i="10"/>
  <c r="AA23" i="10"/>
  <c r="BM23" i="10" s="1"/>
  <c r="BC22" i="10"/>
  <c r="AO22" i="10"/>
  <c r="AA22" i="10"/>
  <c r="BM22" i="10" s="1"/>
  <c r="BL22" i="10"/>
  <c r="BC21" i="10"/>
  <c r="AO21" i="10"/>
  <c r="AA21" i="10"/>
  <c r="BM21" i="10" s="1"/>
  <c r="BC20" i="10"/>
  <c r="AO20" i="10"/>
  <c r="AA20" i="10"/>
  <c r="BM20" i="10" s="1"/>
  <c r="BC19" i="10"/>
  <c r="AO19" i="10"/>
  <c r="AA19" i="10"/>
  <c r="BM19" i="10" s="1"/>
  <c r="BC18" i="10"/>
  <c r="AO18" i="10"/>
  <c r="AA18" i="10"/>
  <c r="BM18" i="10" s="1"/>
  <c r="BK18" i="10"/>
  <c r="BC17" i="10"/>
  <c r="AO17" i="10"/>
  <c r="AA17" i="10"/>
  <c r="BM17" i="10" s="1"/>
  <c r="BC16" i="10"/>
  <c r="AO16" i="10"/>
  <c r="AA16" i="10"/>
  <c r="BM16" i="10" s="1"/>
  <c r="BC15" i="10"/>
  <c r="AO15" i="10"/>
  <c r="AA15" i="10"/>
  <c r="BM15" i="10" s="1"/>
  <c r="BC14" i="10"/>
  <c r="AO14" i="10"/>
  <c r="AA14" i="10"/>
  <c r="BM14" i="10" s="1"/>
  <c r="BL14" i="10"/>
  <c r="BC13" i="10"/>
  <c r="AO13" i="10"/>
  <c r="AA13" i="10"/>
  <c r="BM13" i="10" s="1"/>
  <c r="BC12" i="10"/>
  <c r="AO12" i="10"/>
  <c r="AA12" i="10"/>
  <c r="BM12" i="10" s="1"/>
  <c r="BM11" i="10"/>
  <c r="BC11" i="10"/>
  <c r="AO11" i="10"/>
  <c r="AA11" i="10"/>
  <c r="BC10" i="10"/>
  <c r="AO10" i="10"/>
  <c r="AA10" i="10"/>
  <c r="BM10" i="10" s="1"/>
  <c r="BK10" i="10"/>
  <c r="BC9" i="10"/>
  <c r="AO9" i="10"/>
  <c r="AA9" i="10"/>
  <c r="BM9" i="10" s="1"/>
  <c r="BC8" i="10"/>
  <c r="AO8" i="10"/>
  <c r="AA8" i="10"/>
  <c r="BM8" i="10" s="1"/>
  <c r="BC7" i="10"/>
  <c r="AO7" i="10"/>
  <c r="AA7" i="10"/>
  <c r="BM7" i="10" s="1"/>
  <c r="BC6" i="10"/>
  <c r="AO6" i="10"/>
  <c r="AA6" i="10"/>
  <c r="BM6" i="10" s="1"/>
  <c r="BC5" i="10"/>
  <c r="AO5" i="10"/>
  <c r="AA5" i="10"/>
  <c r="BM5" i="10" s="1"/>
  <c r="BC4" i="10"/>
  <c r="AO4" i="10"/>
  <c r="BL4" i="10" l="1"/>
  <c r="BL6" i="10"/>
  <c r="BL25" i="10"/>
  <c r="BK25" i="10"/>
  <c r="BK11" i="10"/>
  <c r="BL11" i="10"/>
  <c r="BL13" i="10"/>
  <c r="BK13" i="10"/>
  <c r="BL17" i="10"/>
  <c r="BK17" i="10"/>
  <c r="BL24" i="10"/>
  <c r="BK24" i="10"/>
  <c r="BL20" i="10"/>
  <c r="BK20" i="10"/>
  <c r="BK5" i="10"/>
  <c r="BL5" i="10"/>
  <c r="BL9" i="10"/>
  <c r="BK9" i="10"/>
  <c r="BL12" i="10"/>
  <c r="BK12" i="10"/>
  <c r="BK8" i="10"/>
  <c r="BL8" i="10"/>
  <c r="BL19" i="10"/>
  <c r="BK19" i="10"/>
  <c r="BL16" i="10"/>
  <c r="BK16" i="10"/>
  <c r="BK21" i="10"/>
  <c r="BL21" i="10"/>
  <c r="BK6" i="10"/>
  <c r="BK14" i="10"/>
  <c r="BK22" i="10"/>
  <c r="BL10" i="10"/>
  <c r="BL18" i="10"/>
  <c r="BK7" i="10"/>
  <c r="BK15" i="10"/>
  <c r="BK23" i="10"/>
  <c r="BL15" i="10"/>
  <c r="BL7" i="10"/>
  <c r="BL23" i="10"/>
  <c r="BO4" i="7"/>
  <c r="BO5" i="7"/>
  <c r="BO6" i="7"/>
  <c r="BO7" i="7"/>
  <c r="BO8" i="7"/>
  <c r="BO9" i="7"/>
  <c r="BO10" i="7"/>
  <c r="BO11" i="7"/>
  <c r="BO12" i="7"/>
  <c r="BO13" i="7"/>
  <c r="BO14" i="7"/>
  <c r="BO15" i="7"/>
  <c r="BO16" i="7"/>
  <c r="BO17" i="7"/>
  <c r="BO18" i="7"/>
  <c r="BO19" i="7"/>
  <c r="BO20" i="7"/>
  <c r="BO21" i="7"/>
  <c r="BO22" i="7"/>
  <c r="BO23" i="7"/>
  <c r="BO24" i="7"/>
  <c r="BO25" i="7"/>
  <c r="BO26" i="7"/>
  <c r="BO27" i="7"/>
  <c r="BO28" i="7"/>
  <c r="BO29" i="7"/>
  <c r="BO30" i="7"/>
  <c r="BO31" i="7"/>
  <c r="BO32" i="7"/>
  <c r="BO33" i="7"/>
  <c r="BO34" i="7"/>
  <c r="BO35" i="7"/>
  <c r="BO36" i="7"/>
  <c r="BO37" i="7"/>
  <c r="BO38" i="7"/>
  <c r="BO39" i="7"/>
  <c r="BO40" i="7"/>
  <c r="BO41" i="7"/>
  <c r="BO42" i="7"/>
  <c r="BO43" i="7"/>
  <c r="BO44" i="7"/>
  <c r="BO45" i="7"/>
  <c r="BO46" i="7"/>
  <c r="BO47" i="7"/>
  <c r="BO48" i="7"/>
  <c r="BO49" i="7"/>
  <c r="BO50" i="7"/>
  <c r="BO51" i="7"/>
  <c r="BO52" i="7"/>
  <c r="BO53" i="7"/>
  <c r="BO54" i="7"/>
  <c r="BO55" i="7"/>
  <c r="BO56" i="7"/>
  <c r="BO57" i="7"/>
  <c r="BO58" i="7"/>
  <c r="BO59" i="7"/>
  <c r="BO60" i="7"/>
  <c r="BO61" i="7"/>
  <c r="BO62" i="7"/>
  <c r="BO63" i="7"/>
  <c r="BO64" i="7"/>
  <c r="J29" i="7"/>
  <c r="J32" i="7"/>
  <c r="J31" i="7"/>
  <c r="J30" i="7"/>
  <c r="J28" i="7"/>
  <c r="J27" i="7"/>
  <c r="J26" i="7"/>
  <c r="J25" i="7"/>
  <c r="J24" i="7"/>
  <c r="J23" i="7"/>
  <c r="J22" i="7"/>
  <c r="J21" i="7"/>
  <c r="J20" i="7"/>
  <c r="J19" i="7"/>
  <c r="J18" i="7"/>
  <c r="J17" i="7"/>
  <c r="J16" i="7"/>
  <c r="J15" i="7"/>
  <c r="J14" i="7"/>
  <c r="J13" i="7"/>
  <c r="J12" i="7"/>
  <c r="J11" i="7"/>
  <c r="J10" i="7"/>
  <c r="J9" i="7"/>
  <c r="J8" i="7"/>
  <c r="J7" i="7"/>
  <c r="J6" i="7"/>
  <c r="J5" i="7"/>
  <c r="J4" i="7"/>
  <c r="AZ38" i="7" l="1"/>
  <c r="AZ28" i="7"/>
  <c r="AL40" i="7"/>
  <c r="AL24" i="7"/>
  <c r="AZ18" i="7"/>
  <c r="AL63" i="7"/>
  <c r="AZ63" i="7"/>
  <c r="AZ64" i="7"/>
  <c r="AL64" i="7"/>
  <c r="AZ15" i="7"/>
  <c r="AL15" i="7"/>
  <c r="AZ24" i="7"/>
  <c r="AZ13" i="7"/>
  <c r="AL7" i="7"/>
  <c r="AZ40" i="7"/>
  <c r="AL30" i="7"/>
  <c r="AZ56" i="7"/>
  <c r="AL62" i="7"/>
  <c r="AL13" i="7"/>
  <c r="AL11" i="7"/>
  <c r="AZ62" i="7"/>
  <c r="AZ30" i="7"/>
  <c r="AL23" i="7"/>
  <c r="AL5" i="7"/>
  <c r="AZ5" i="7"/>
  <c r="AL12" i="7"/>
  <c r="AZ12" i="7"/>
  <c r="AL4" i="7"/>
  <c r="AL45" i="7"/>
  <c r="AZ45" i="7"/>
  <c r="AL26" i="7"/>
  <c r="AZ26" i="7"/>
  <c r="AZ47" i="7"/>
  <c r="AZ59" i="7"/>
  <c r="AZ54" i="7"/>
  <c r="AL54" i="7"/>
  <c r="AZ35" i="7"/>
  <c r="AL35" i="7"/>
  <c r="AL42" i="7"/>
  <c r="AL58" i="7"/>
  <c r="AZ58" i="7"/>
  <c r="AZ57" i="7"/>
  <c r="AL56" i="7"/>
  <c r="AZ46" i="7"/>
  <c r="AL46" i="7"/>
  <c r="AZ23" i="7"/>
  <c r="AZ25" i="7"/>
  <c r="AL25" i="7"/>
  <c r="AZ11" i="7"/>
  <c r="AL52" i="7"/>
  <c r="AZ39" i="7"/>
  <c r="AL39" i="7"/>
  <c r="AZ36" i="7"/>
  <c r="AZ27" i="7"/>
  <c r="AL27" i="7"/>
  <c r="AL14" i="7"/>
  <c r="AZ8" i="7"/>
  <c r="AL8" i="7"/>
  <c r="AL29" i="7"/>
  <c r="AZ29" i="7"/>
  <c r="AZ14" i="7"/>
  <c r="AZ51" i="7"/>
  <c r="AL51" i="7"/>
  <c r="AL31" i="7"/>
  <c r="AL16" i="7"/>
  <c r="AL34" i="7"/>
  <c r="AZ34" i="7"/>
  <c r="AZ32" i="7"/>
  <c r="AL32" i="7"/>
  <c r="AL28" i="7"/>
  <c r="AZ61" i="7"/>
  <c r="AL61" i="7"/>
  <c r="AL59" i="7"/>
  <c r="AL57" i="7"/>
  <c r="AZ55" i="7"/>
  <c r="AZ44" i="7"/>
  <c r="AL44" i="7"/>
  <c r="AL36" i="7"/>
  <c r="AZ52" i="7"/>
  <c r="AZ16" i="7"/>
  <c r="AL55" i="7"/>
  <c r="AL53" i="7"/>
  <c r="AZ50" i="7"/>
  <c r="AL50" i="7"/>
  <c r="AZ49" i="7"/>
  <c r="AZ33" i="7"/>
  <c r="AL33" i="7"/>
  <c r="AL18" i="7"/>
  <c r="AZ20" i="7"/>
  <c r="AL20" i="7"/>
  <c r="AL47" i="7"/>
  <c r="AL19" i="7"/>
  <c r="AL10" i="7"/>
  <c r="AZ10" i="7"/>
  <c r="AL41" i="7"/>
  <c r="AL60" i="7"/>
  <c r="AZ60" i="7"/>
  <c r="AL48" i="7"/>
  <c r="AZ42" i="7"/>
  <c r="AL49" i="7"/>
  <c r="AZ22" i="7"/>
  <c r="AL22" i="7"/>
  <c r="AZ21" i="7"/>
  <c r="AL21" i="7"/>
  <c r="AZ7" i="7"/>
  <c r="AZ48" i="7"/>
  <c r="AZ43" i="7"/>
  <c r="AL43" i="7"/>
  <c r="AZ19" i="7"/>
  <c r="AZ6" i="7"/>
  <c r="AL6" i="7"/>
  <c r="AL38" i="7"/>
  <c r="AZ31" i="7"/>
  <c r="AZ37" i="7"/>
  <c r="AL37" i="7"/>
  <c r="AL17" i="7"/>
  <c r="AZ17" i="7"/>
  <c r="AZ9" i="7"/>
  <c r="AL9" i="7"/>
  <c r="AZ4" i="7"/>
  <c r="AZ53" i="7"/>
  <c r="AZ41" i="7"/>
  <c r="A4" i="7" l="1"/>
  <c r="B64" i="7"/>
  <c r="A64" i="7"/>
  <c r="B63" i="7"/>
  <c r="A63" i="7"/>
  <c r="B62" i="7"/>
  <c r="A62" i="7"/>
  <c r="B61" i="7"/>
  <c r="A61" i="7"/>
  <c r="B60" i="7"/>
  <c r="A60" i="7"/>
  <c r="B59" i="7"/>
  <c r="A59" i="7"/>
  <c r="B58" i="7"/>
  <c r="A58" i="7"/>
  <c r="B57" i="7"/>
  <c r="A57" i="7"/>
  <c r="B56" i="7"/>
  <c r="A56" i="7"/>
  <c r="B55" i="7"/>
  <c r="A55" i="7"/>
  <c r="B54" i="7"/>
  <c r="A54" i="7"/>
  <c r="B53" i="7"/>
  <c r="A53" i="7"/>
  <c r="B52" i="7"/>
  <c r="A52" i="7"/>
  <c r="B51" i="7"/>
  <c r="A51" i="7"/>
  <c r="B50" i="7"/>
  <c r="A50" i="7"/>
  <c r="B49" i="7"/>
  <c r="A49" i="7"/>
  <c r="B48" i="7"/>
  <c r="A48" i="7"/>
  <c r="B47" i="7"/>
  <c r="A47" i="7"/>
  <c r="B46" i="7"/>
  <c r="A46" i="7"/>
  <c r="B45" i="7"/>
  <c r="A45" i="7"/>
  <c r="B44" i="7"/>
  <c r="A44" i="7"/>
  <c r="B43" i="7"/>
  <c r="A43" i="7"/>
  <c r="B42" i="7"/>
  <c r="A42" i="7"/>
  <c r="B41" i="7"/>
  <c r="A41" i="7"/>
  <c r="B40" i="7"/>
  <c r="A40" i="7"/>
  <c r="B39" i="7"/>
  <c r="A39" i="7"/>
  <c r="B38" i="7"/>
  <c r="A38" i="7"/>
  <c r="B37" i="7"/>
  <c r="A37" i="7"/>
  <c r="B36" i="7"/>
  <c r="A36" i="7"/>
  <c r="B35" i="7"/>
  <c r="A35" i="7"/>
  <c r="B34" i="7"/>
  <c r="A34" i="7"/>
  <c r="B33"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G33" i="7" l="1"/>
  <c r="G57" i="7"/>
  <c r="G44" i="7"/>
  <c r="G56" i="7"/>
  <c r="G34" i="7"/>
  <c r="G35" i="7"/>
  <c r="G36" i="7"/>
  <c r="G48" i="7"/>
  <c r="G49" i="7"/>
  <c r="G38" i="7"/>
  <c r="G50" i="7"/>
  <c r="G62" i="7"/>
  <c r="G51" i="7"/>
  <c r="G63" i="7"/>
  <c r="G40" i="7"/>
  <c r="G52" i="7"/>
  <c r="G64" i="7"/>
  <c r="G43" i="7"/>
  <c r="G55" i="7"/>
  <c r="G45" i="7"/>
  <c r="G46" i="7"/>
  <c r="G58" i="7"/>
  <c r="G47" i="7"/>
  <c r="G59" i="7"/>
  <c r="G60" i="7"/>
  <c r="G37" i="7"/>
  <c r="G61" i="7"/>
  <c r="G39" i="7"/>
  <c r="G41" i="7"/>
  <c r="G53" i="7"/>
  <c r="G42" i="7"/>
  <c r="G54" i="7"/>
  <c r="BD24" i="7"/>
  <c r="BD25" i="7"/>
  <c r="BD8" i="7"/>
  <c r="BD16" i="7"/>
  <c r="BD26" i="7"/>
  <c r="BD14" i="7"/>
  <c r="BD9" i="7"/>
  <c r="BD4" i="7"/>
  <c r="BD10" i="7"/>
  <c r="BD20" i="7"/>
  <c r="BD28" i="7"/>
  <c r="BD6" i="7"/>
  <c r="BD7" i="7"/>
  <c r="BD18" i="7"/>
  <c r="BD11" i="7"/>
  <c r="BD21" i="7"/>
  <c r="BD12" i="7"/>
  <c r="BD22" i="7"/>
  <c r="BD30" i="7"/>
  <c r="BD32" i="7"/>
  <c r="BD15" i="7"/>
  <c r="BD27" i="7"/>
  <c r="BD19" i="7"/>
  <c r="BD29" i="7"/>
  <c r="BD5" i="7"/>
  <c r="BD13" i="7"/>
  <c r="BD23" i="7"/>
  <c r="BD31" i="7"/>
  <c r="BD47" i="7"/>
  <c r="BD40" i="7"/>
  <c r="BD64" i="7"/>
  <c r="BD33" i="7"/>
  <c r="BD41" i="7"/>
  <c r="BD49" i="7"/>
  <c r="BD57" i="7"/>
  <c r="BD39" i="7"/>
  <c r="BD48" i="7"/>
  <c r="BD34" i="7"/>
  <c r="BD42" i="7"/>
  <c r="BD50" i="7"/>
  <c r="BD58" i="7"/>
  <c r="BD56" i="7"/>
  <c r="BD35" i="7"/>
  <c r="BD43" i="7"/>
  <c r="BD51" i="7"/>
  <c r="BD59" i="7"/>
  <c r="BD55" i="7"/>
  <c r="BD52" i="7"/>
  <c r="BD63" i="7"/>
  <c r="BD36" i="7"/>
  <c r="BD44" i="7"/>
  <c r="BD60" i="7"/>
  <c r="BD37" i="7"/>
  <c r="BD45" i="7"/>
  <c r="BD53" i="7"/>
  <c r="BD61" i="7"/>
  <c r="BD38" i="7"/>
  <c r="BD46" i="7"/>
  <c r="BD54" i="7"/>
  <c r="BD62" i="7"/>
  <c r="AA4" i="10"/>
  <c r="BM4" i="10" s="1"/>
  <c r="BD17" i="7" l="1"/>
  <c r="BK4" i="10" l="1"/>
  <c r="F19" i="7" l="1"/>
  <c r="G19" i="7" l="1"/>
  <c r="B19" i="7" s="1"/>
  <c r="G49" i="8"/>
  <c r="X6" i="7"/>
  <c r="X7" i="7"/>
  <c r="X5" i="7"/>
  <c r="X4" i="7"/>
  <c r="BA4" i="7" l="1"/>
  <c r="BC4" i="7"/>
  <c r="BA5" i="7"/>
  <c r="BC5" i="7"/>
  <c r="BA7" i="7"/>
  <c r="BC7" i="7"/>
  <c r="BA6" i="7"/>
  <c r="BC6" i="7"/>
  <c r="F4" i="7"/>
  <c r="X64" i="7"/>
  <c r="H64" i="7"/>
  <c r="I64" i="7" s="1"/>
  <c r="F64" i="7"/>
  <c r="X63" i="7"/>
  <c r="H63" i="7"/>
  <c r="I63" i="7" s="1"/>
  <c r="F63" i="7"/>
  <c r="X62" i="7"/>
  <c r="H62" i="7"/>
  <c r="I62" i="7" s="1"/>
  <c r="F62" i="7"/>
  <c r="X61" i="7"/>
  <c r="H61" i="7"/>
  <c r="I61" i="7" s="1"/>
  <c r="F61" i="7"/>
  <c r="X60" i="7"/>
  <c r="H60" i="7"/>
  <c r="I60" i="7" s="1"/>
  <c r="F60" i="7"/>
  <c r="X59" i="7"/>
  <c r="H59" i="7"/>
  <c r="I59" i="7" s="1"/>
  <c r="F59" i="7"/>
  <c r="X58" i="7"/>
  <c r="H58" i="7"/>
  <c r="I58" i="7" s="1"/>
  <c r="F58" i="7"/>
  <c r="X57" i="7"/>
  <c r="H57" i="7"/>
  <c r="I57" i="7" s="1"/>
  <c r="F57" i="7"/>
  <c r="X56" i="7"/>
  <c r="H56" i="7"/>
  <c r="I56" i="7" s="1"/>
  <c r="F56" i="7"/>
  <c r="X55" i="7"/>
  <c r="H55" i="7"/>
  <c r="I55" i="7" s="1"/>
  <c r="F55" i="7"/>
  <c r="X54" i="7"/>
  <c r="H54" i="7"/>
  <c r="I54" i="7" s="1"/>
  <c r="F54" i="7"/>
  <c r="X53" i="7"/>
  <c r="H53" i="7"/>
  <c r="I53" i="7" s="1"/>
  <c r="F53" i="7"/>
  <c r="X52" i="7"/>
  <c r="H52" i="7"/>
  <c r="I52" i="7" s="1"/>
  <c r="F52" i="7"/>
  <c r="X51" i="7"/>
  <c r="H51" i="7"/>
  <c r="I51" i="7" s="1"/>
  <c r="F51" i="7"/>
  <c r="X50" i="7"/>
  <c r="H50" i="7"/>
  <c r="I50" i="7" s="1"/>
  <c r="F50" i="7"/>
  <c r="X49" i="7"/>
  <c r="H49" i="7"/>
  <c r="I49" i="7" s="1"/>
  <c r="F49" i="7"/>
  <c r="X48" i="7"/>
  <c r="H48" i="7"/>
  <c r="I48" i="7" s="1"/>
  <c r="F48" i="7"/>
  <c r="X47" i="7"/>
  <c r="H47" i="7"/>
  <c r="I47" i="7" s="1"/>
  <c r="F47" i="7"/>
  <c r="X46" i="7"/>
  <c r="H46" i="7"/>
  <c r="I46" i="7" s="1"/>
  <c r="F46" i="7"/>
  <c r="X45" i="7"/>
  <c r="H45" i="7"/>
  <c r="I45" i="7" s="1"/>
  <c r="F45" i="7"/>
  <c r="X44" i="7"/>
  <c r="H44" i="7"/>
  <c r="I44" i="7" s="1"/>
  <c r="F44" i="7"/>
  <c r="X43" i="7"/>
  <c r="H43" i="7"/>
  <c r="I43" i="7" s="1"/>
  <c r="F43" i="7"/>
  <c r="X42" i="7"/>
  <c r="H42" i="7"/>
  <c r="I42" i="7" s="1"/>
  <c r="F42" i="7"/>
  <c r="X41" i="7"/>
  <c r="H41" i="7"/>
  <c r="I41" i="7" s="1"/>
  <c r="F41" i="7"/>
  <c r="X40" i="7"/>
  <c r="H40" i="7"/>
  <c r="I40" i="7" s="1"/>
  <c r="F40" i="7"/>
  <c r="X39" i="7"/>
  <c r="H39" i="7"/>
  <c r="I39" i="7" s="1"/>
  <c r="F39" i="7"/>
  <c r="X38" i="7"/>
  <c r="H38" i="7"/>
  <c r="I38" i="7" s="1"/>
  <c r="F38" i="7"/>
  <c r="X37" i="7"/>
  <c r="H37" i="7"/>
  <c r="I37" i="7" s="1"/>
  <c r="F37" i="7"/>
  <c r="X36" i="7"/>
  <c r="H36" i="7"/>
  <c r="I36" i="7" s="1"/>
  <c r="F36" i="7"/>
  <c r="X35" i="7"/>
  <c r="H35" i="7"/>
  <c r="I35" i="7" s="1"/>
  <c r="F35" i="7"/>
  <c r="X34" i="7"/>
  <c r="H34" i="7"/>
  <c r="I34" i="7" s="1"/>
  <c r="F34" i="7"/>
  <c r="X33" i="7"/>
  <c r="H33" i="7"/>
  <c r="I33" i="7" s="1"/>
  <c r="F33" i="7"/>
  <c r="X32" i="7"/>
  <c r="H32" i="7"/>
  <c r="I32" i="7" s="1"/>
  <c r="F32" i="7"/>
  <c r="X31" i="7"/>
  <c r="H31" i="7"/>
  <c r="I31" i="7" s="1"/>
  <c r="F31" i="7"/>
  <c r="X30" i="7"/>
  <c r="H30" i="7"/>
  <c r="I30" i="7" s="1"/>
  <c r="F30" i="7"/>
  <c r="X29" i="7"/>
  <c r="H29" i="7"/>
  <c r="I29" i="7" s="1"/>
  <c r="F29" i="7"/>
  <c r="X28" i="7"/>
  <c r="H28" i="7"/>
  <c r="I28" i="7" s="1"/>
  <c r="F28" i="7"/>
  <c r="X27" i="7"/>
  <c r="H27" i="7"/>
  <c r="I27" i="7" s="1"/>
  <c r="F27" i="7"/>
  <c r="X26" i="7"/>
  <c r="H26" i="7"/>
  <c r="I26" i="7" s="1"/>
  <c r="F26" i="7"/>
  <c r="X25" i="7"/>
  <c r="H25" i="7"/>
  <c r="I25" i="7" s="1"/>
  <c r="F25" i="7"/>
  <c r="X24" i="7"/>
  <c r="H24" i="7"/>
  <c r="I24" i="7" s="1"/>
  <c r="F24" i="7"/>
  <c r="X23" i="7"/>
  <c r="H23" i="7"/>
  <c r="I23" i="7" s="1"/>
  <c r="F23" i="7"/>
  <c r="X22" i="7"/>
  <c r="H22" i="7"/>
  <c r="I22" i="7" s="1"/>
  <c r="F22" i="7"/>
  <c r="X21" i="7"/>
  <c r="H21" i="7"/>
  <c r="I21" i="7" s="1"/>
  <c r="F21" i="7"/>
  <c r="X20" i="7"/>
  <c r="H20" i="7"/>
  <c r="I20" i="7" s="1"/>
  <c r="F20" i="7"/>
  <c r="X19" i="7"/>
  <c r="H19" i="7"/>
  <c r="I19" i="7" s="1"/>
  <c r="X18" i="7"/>
  <c r="H18" i="7"/>
  <c r="I18" i="7" s="1"/>
  <c r="F18" i="7"/>
  <c r="X17" i="7"/>
  <c r="H17" i="7"/>
  <c r="I17" i="7" s="1"/>
  <c r="F17" i="7"/>
  <c r="X16" i="7"/>
  <c r="H16" i="7"/>
  <c r="I16" i="7" s="1"/>
  <c r="F16" i="7"/>
  <c r="X15" i="7"/>
  <c r="H15" i="7"/>
  <c r="I15" i="7" s="1"/>
  <c r="F15" i="7"/>
  <c r="X14" i="7"/>
  <c r="H14" i="7"/>
  <c r="I14" i="7" s="1"/>
  <c r="F14" i="7"/>
  <c r="X13" i="7"/>
  <c r="H13" i="7"/>
  <c r="I13" i="7" s="1"/>
  <c r="F13" i="7"/>
  <c r="X12" i="7"/>
  <c r="H12" i="7"/>
  <c r="I12" i="7" s="1"/>
  <c r="F12" i="7"/>
  <c r="X11" i="7"/>
  <c r="H11" i="7"/>
  <c r="I11" i="7" s="1"/>
  <c r="F11" i="7"/>
  <c r="X10" i="7"/>
  <c r="X9" i="7"/>
  <c r="X8" i="7"/>
  <c r="H10" i="7"/>
  <c r="I10" i="7" s="1"/>
  <c r="H9" i="7"/>
  <c r="I9" i="7" s="1"/>
  <c r="H8" i="7"/>
  <c r="I8" i="7" s="1"/>
  <c r="H7" i="7"/>
  <c r="I7" i="7" s="1"/>
  <c r="H6" i="7"/>
  <c r="I6" i="7" s="1"/>
  <c r="H5" i="7"/>
  <c r="I5" i="7" s="1"/>
  <c r="H4" i="7"/>
  <c r="I4" i="7" s="1"/>
  <c r="F10" i="7"/>
  <c r="F5" i="7"/>
  <c r="F6" i="7"/>
  <c r="F7" i="7"/>
  <c r="F8" i="7"/>
  <c r="F9" i="7"/>
  <c r="G24" i="7" l="1"/>
  <c r="B24" i="7" s="1"/>
  <c r="G25" i="7"/>
  <c r="B25" i="7" s="1"/>
  <c r="G17" i="7"/>
  <c r="B17" i="7" s="1"/>
  <c r="G32" i="7"/>
  <c r="B32" i="7" s="1"/>
  <c r="G12" i="7"/>
  <c r="B12" i="7" s="1"/>
  <c r="G23" i="7"/>
  <c r="B23" i="7" s="1"/>
  <c r="BT4" i="7"/>
  <c r="BR4" i="7"/>
  <c r="G28" i="7"/>
  <c r="B28" i="7" s="1"/>
  <c r="G16" i="7"/>
  <c r="B16" i="7" s="1"/>
  <c r="G29" i="7"/>
  <c r="B29" i="7" s="1"/>
  <c r="G4" i="7"/>
  <c r="B4" i="7" s="1"/>
  <c r="BS4" i="7"/>
  <c r="G13" i="7"/>
  <c r="B13" i="7" s="1"/>
  <c r="G9" i="7"/>
  <c r="B9" i="7" s="1"/>
  <c r="G22" i="7"/>
  <c r="B22" i="7" s="1"/>
  <c r="G30" i="7"/>
  <c r="B30" i="7" s="1"/>
  <c r="G8" i="7"/>
  <c r="B8" i="7" s="1"/>
  <c r="G18" i="7"/>
  <c r="B18" i="7" s="1"/>
  <c r="G7" i="7"/>
  <c r="B7" i="7" s="1"/>
  <c r="G6" i="7"/>
  <c r="B6" i="7" s="1"/>
  <c r="G27" i="7"/>
  <c r="B27" i="7" s="1"/>
  <c r="G31" i="7"/>
  <c r="B31" i="7" s="1"/>
  <c r="G11" i="7"/>
  <c r="B11" i="7" s="1"/>
  <c r="G15" i="7"/>
  <c r="B15" i="7" s="1"/>
  <c r="G20" i="7"/>
  <c r="B20" i="7" s="1"/>
  <c r="G21" i="7"/>
  <c r="B21" i="7" s="1"/>
  <c r="G26" i="7"/>
  <c r="B26" i="7" s="1"/>
  <c r="G14" i="7"/>
  <c r="B14" i="7" s="1"/>
  <c r="G5" i="7"/>
  <c r="B5" i="7" s="1"/>
  <c r="G10" i="7"/>
  <c r="B10" i="7" s="1"/>
  <c r="BA10" i="7"/>
  <c r="BC10" i="7"/>
  <c r="BA14" i="7"/>
  <c r="BC14" i="7"/>
  <c r="BA18" i="7"/>
  <c r="BC18" i="7"/>
  <c r="BA13" i="7"/>
  <c r="BC13" i="7"/>
  <c r="BA17" i="7"/>
  <c r="BC17" i="7"/>
  <c r="BA8" i="7"/>
  <c r="BC8" i="7"/>
  <c r="BA19" i="7"/>
  <c r="BC19" i="7"/>
  <c r="BA23" i="7"/>
  <c r="BC23" i="7"/>
  <c r="BA27" i="7"/>
  <c r="BC27" i="7"/>
  <c r="BA31" i="7"/>
  <c r="BC31" i="7"/>
  <c r="BA33" i="7"/>
  <c r="BC33" i="7"/>
  <c r="BA37" i="7"/>
  <c r="BC37" i="7"/>
  <c r="BA41" i="7"/>
  <c r="BC41" i="7"/>
  <c r="BA45" i="7"/>
  <c r="BC45" i="7"/>
  <c r="BA49" i="7"/>
  <c r="BC49" i="7"/>
  <c r="BA53" i="7"/>
  <c r="BC53" i="7"/>
  <c r="BA57" i="7"/>
  <c r="BC57" i="7"/>
  <c r="BA61" i="7"/>
  <c r="BC61" i="7"/>
  <c r="BA26" i="7"/>
  <c r="BC26" i="7"/>
  <c r="BA30" i="7"/>
  <c r="BC30" i="7"/>
  <c r="BA36" i="7"/>
  <c r="BC36" i="7"/>
  <c r="BA40" i="7"/>
  <c r="BC40" i="7"/>
  <c r="BA44" i="7"/>
  <c r="BC44" i="7"/>
  <c r="BA48" i="7"/>
  <c r="BC48" i="7"/>
  <c r="BA52" i="7"/>
  <c r="BC52" i="7"/>
  <c r="BA56" i="7"/>
  <c r="BC56" i="7"/>
  <c r="BA60" i="7"/>
  <c r="BC60" i="7"/>
  <c r="BA64" i="7"/>
  <c r="BC64" i="7"/>
  <c r="BA11" i="7"/>
  <c r="BC11" i="7"/>
  <c r="BA15" i="7"/>
  <c r="BC15" i="7"/>
  <c r="BA24" i="7"/>
  <c r="BC24" i="7"/>
  <c r="BA28" i="7"/>
  <c r="BC28" i="7"/>
  <c r="BA32" i="7"/>
  <c r="BC32" i="7"/>
  <c r="BA34" i="7"/>
  <c r="BC34" i="7"/>
  <c r="BA38" i="7"/>
  <c r="BC38" i="7"/>
  <c r="BA42" i="7"/>
  <c r="BC42" i="7"/>
  <c r="BA46" i="7"/>
  <c r="BC46" i="7"/>
  <c r="BA50" i="7"/>
  <c r="BC50" i="7"/>
  <c r="BC54" i="7"/>
  <c r="BA54" i="7"/>
  <c r="BA58" i="7"/>
  <c r="BC58" i="7"/>
  <c r="BA62" i="7"/>
  <c r="BC62" i="7"/>
  <c r="BA12" i="7"/>
  <c r="BC12" i="7"/>
  <c r="BA16" i="7"/>
  <c r="BC16" i="7"/>
  <c r="BA9" i="7"/>
  <c r="BC9" i="7"/>
  <c r="BA22" i="7"/>
  <c r="BC22" i="7"/>
  <c r="BA20" i="7"/>
  <c r="BC20" i="7"/>
  <c r="BA21" i="7"/>
  <c r="BC21" i="7"/>
  <c r="BA25" i="7"/>
  <c r="BC25" i="7"/>
  <c r="BA29" i="7"/>
  <c r="BC29" i="7"/>
  <c r="BA35" i="7"/>
  <c r="BC35" i="7"/>
  <c r="BA39" i="7"/>
  <c r="BC39" i="7"/>
  <c r="BA43" i="7"/>
  <c r="BC43" i="7"/>
  <c r="BA47" i="7"/>
  <c r="BC47" i="7"/>
  <c r="BA51" i="7"/>
  <c r="BC51" i="7"/>
  <c r="BC55" i="7"/>
  <c r="BA55" i="7"/>
  <c r="BA59" i="7"/>
  <c r="BC59" i="7"/>
  <c r="BA63" i="7"/>
  <c r="BC6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F1987B74-91A8-4EE7-8749-9812FBFE999A}">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<sst xmlns="http://schemas.openxmlformats.org/spreadsheetml/2006/main" count="3602" uniqueCount="1237">
  <si>
    <t>Petunjuk Umum</t>
  </si>
  <si>
    <t>•</t>
  </si>
  <si>
    <t>Setiap Departemen wajib menunjuk PIC anggaran (selain manager) untuk mempermudah pemberitahuan terkini terkait dengan perubahan/tambahan peraturan/kebijakan</t>
  </si>
  <si>
    <t>Petunjuk Rinci/Detail</t>
  </si>
  <si>
    <t>Terdapat 4 bagian dalam lembar kerja budget :</t>
  </si>
  <si>
    <t>- COVER</t>
  </si>
  <si>
    <t>Sheet 1 : Cover</t>
  </si>
  <si>
    <t>Cover</t>
  </si>
  <si>
    <t>Harap isi masing-masing bagian sesuai urutan dibawah.</t>
  </si>
  <si>
    <t xml:space="preserve">Year                                   </t>
  </si>
  <si>
    <t>Diisi dengan tahun perencanaan budget</t>
  </si>
  <si>
    <t>BU/HO</t>
  </si>
  <si>
    <t>Div. /Dept.</t>
  </si>
  <si>
    <t>HO</t>
  </si>
  <si>
    <t>Corp. Planning &amp; Sustainability</t>
  </si>
  <si>
    <t>Internal Audit</t>
  </si>
  <si>
    <t>HSE</t>
  </si>
  <si>
    <t>Corporate Communication</t>
  </si>
  <si>
    <t>Financial Planning &amp; Analysis</t>
  </si>
  <si>
    <t>Taxation</t>
  </si>
  <si>
    <t>Treasury &amp; Finance</t>
  </si>
  <si>
    <t>General Affairs</t>
  </si>
  <si>
    <t>Human Resources</t>
  </si>
  <si>
    <t>IT</t>
  </si>
  <si>
    <t>Strategic Sourcing &amp; Procurement</t>
  </si>
  <si>
    <t>Custom &amp; Logistic</t>
  </si>
  <si>
    <t>Warehouse &amp; Inventory</t>
  </si>
  <si>
    <t>Siapkan approval sesuai dengan approval matrix Divisi / Departement masing-masing</t>
  </si>
  <si>
    <t>Ledger SAP</t>
  </si>
  <si>
    <t>No (SAP)</t>
  </si>
  <si>
    <t>Name (SAP)</t>
  </si>
  <si>
    <t>Diisi bila department/divisi terkait mempunyai biaya operasional budget untuk periode ini.</t>
  </si>
  <si>
    <t>Cost Center</t>
  </si>
  <si>
    <t>DL Salaries &amp; Wages</t>
  </si>
  <si>
    <t>HR</t>
  </si>
  <si>
    <t>DL Overtime</t>
  </si>
  <si>
    <t>DL THR</t>
  </si>
  <si>
    <t>DL Allowances</t>
  </si>
  <si>
    <t>DL Social Security</t>
  </si>
  <si>
    <t>DL Employee Income Tax</t>
  </si>
  <si>
    <t>DL Bonus</t>
  </si>
  <si>
    <t>DL Severance Pay</t>
  </si>
  <si>
    <t>DL Others</t>
  </si>
  <si>
    <t>IDL Salaries &amp; Wages</t>
  </si>
  <si>
    <t>IDL Overtime</t>
  </si>
  <si>
    <t>IDL THR</t>
  </si>
  <si>
    <t>IDL Allowances</t>
  </si>
  <si>
    <t>IDL Social Security</t>
  </si>
  <si>
    <t>IDL Contract Employee Pay</t>
  </si>
  <si>
    <t>IDL  Incentives</t>
  </si>
  <si>
    <t>IDL Employee Income Tax</t>
  </si>
  <si>
    <t>IDL Bonus</t>
  </si>
  <si>
    <t>IDL Severance Pay</t>
  </si>
  <si>
    <t>IDL Employee Insurance</t>
  </si>
  <si>
    <t>IDL Others</t>
  </si>
  <si>
    <t>Provision for Employee Benefits</t>
  </si>
  <si>
    <t>Biaya cadangan untuk imbalan pisah karyawan pensiun.</t>
  </si>
  <si>
    <t>Outsourcing Services</t>
  </si>
  <si>
    <t>Biaya upah untuk tenaga outsourcing/pekerja harian</t>
  </si>
  <si>
    <t>GA</t>
  </si>
  <si>
    <t>Calibration Services</t>
  </si>
  <si>
    <t>Utilities - Factory Sundries</t>
  </si>
  <si>
    <t>Fuel</t>
  </si>
  <si>
    <t>RM Exp - Buidings Services</t>
  </si>
  <si>
    <t>RM Exp - Machinery and Equipment</t>
  </si>
  <si>
    <t>RM Exp - Heavy Equipment</t>
  </si>
  <si>
    <t>RM Exp - Vehicles</t>
  </si>
  <si>
    <t>RM Exp - Furniture and Fixtures</t>
  </si>
  <si>
    <t>RM Exp - Office and Other Equipment</t>
  </si>
  <si>
    <t>RM Exp - Water Treatment</t>
  </si>
  <si>
    <t>RM Exp - Low Value Asset</t>
  </si>
  <si>
    <t>AE - Advertising and Promotion Expenses</t>
  </si>
  <si>
    <t>TE - Seminar</t>
  </si>
  <si>
    <t>TE - Training</t>
  </si>
  <si>
    <t>Ins. Exp. - Insurance of Building</t>
  </si>
  <si>
    <t>Ins. Exp. - Insurance of Machinery</t>
  </si>
  <si>
    <t>Ins. Exp. - Insurance of Vehicle</t>
  </si>
  <si>
    <t>Ins. Exp. - Insurance of Public and Product Liabil</t>
  </si>
  <si>
    <t>Ins. Exp. - Insurance Others</t>
  </si>
  <si>
    <t>RE - Rental Warehouse</t>
  </si>
  <si>
    <t>RE - Rental Vehicle</t>
  </si>
  <si>
    <t>RE - Rental Land</t>
  </si>
  <si>
    <t>RE - Rental Building / Office</t>
  </si>
  <si>
    <t>RE - Rental Machinery</t>
  </si>
  <si>
    <t>RE - Rental Other</t>
  </si>
  <si>
    <t>PT Exp. - Telecommunication &amp; Internet</t>
  </si>
  <si>
    <t>PT Exp. - Postage and Courier</t>
  </si>
  <si>
    <t>PT Exp. - Stamp Duty</t>
  </si>
  <si>
    <t>PT Exp. - Others</t>
  </si>
  <si>
    <t>PF - Legal Fee</t>
  </si>
  <si>
    <t>Legal</t>
  </si>
  <si>
    <t>PF - Tax Consultan Fee</t>
  </si>
  <si>
    <t>PF - Audit Fee</t>
  </si>
  <si>
    <t>PF - Surveyor Fee</t>
  </si>
  <si>
    <t>PF - Other Professional Fees</t>
  </si>
  <si>
    <t>Ent. Exp - Sample Marketing</t>
  </si>
  <si>
    <t>Ent. Exp - Donation and Social Contribution</t>
  </si>
  <si>
    <t>Ent. Exp - Others Entertainment</t>
  </si>
  <si>
    <t>TL - Land and Property Tax</t>
  </si>
  <si>
    <t>Biaya pajak dan perijinan atas tanah.</t>
  </si>
  <si>
    <t>TL - IMB</t>
  </si>
  <si>
    <t>TL - Restribution</t>
  </si>
  <si>
    <t>Biaya pajak dan perijinan atas retribusi.</t>
  </si>
  <si>
    <t>TL - SIM, STNK</t>
  </si>
  <si>
    <t>Biaya pajak dan perijinan atas kendaraan.</t>
  </si>
  <si>
    <t>TL - Others Tax and Lisence</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</si>
  <si>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</si>
  <si>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</si>
  <si>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</si>
  <si>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</si>
  <si>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</si>
  <si>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</si>
  <si>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</si>
  <si>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</si>
  <si>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</si>
  <si>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</si>
  <si>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</si>
  <si>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Waste Removal Expenses</t>
  </si>
  <si>
    <t>Biaya (jasa dan barang) untuk pengolahan limbah pabrik.</t>
  </si>
  <si>
    <t>Household Equipment Expenses</t>
  </si>
  <si>
    <t>Factory Equipment Expenses</t>
  </si>
  <si>
    <t>Office Equipment Expenses</t>
  </si>
  <si>
    <t>Association and Membership</t>
  </si>
  <si>
    <t>Biaya iuran keanggotaan</t>
  </si>
  <si>
    <t>Subscriptions and Periodicals</t>
  </si>
  <si>
    <t>Biaya berlangganan website, majalah, dll</t>
  </si>
  <si>
    <t>Miscellaneous Expenses</t>
  </si>
  <si>
    <t>Directorate</t>
  </si>
  <si>
    <t>Sales</t>
  </si>
  <si>
    <t>Information Technology</t>
  </si>
  <si>
    <t>Finance</t>
  </si>
  <si>
    <t>Supply Chain Management</t>
  </si>
  <si>
    <t>Annual Budget</t>
  </si>
  <si>
    <t>:</t>
  </si>
  <si>
    <t>Diisi sesuai dengan Direktorat yang tertera di list.</t>
  </si>
  <si>
    <t>Board of Director</t>
  </si>
  <si>
    <t>KSO</t>
  </si>
  <si>
    <t>SCM</t>
  </si>
  <si>
    <t>Mapping</t>
  </si>
  <si>
    <t>Procurement</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</si>
  <si>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</si>
  <si>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</si>
  <si>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</si>
  <si>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</si>
  <si>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</si>
  <si>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</si>
  <si>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</si>
  <si>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</si>
  <si>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</si>
  <si>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</si>
  <si>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</si>
  <si>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</si>
  <si>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</si>
  <si>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</si>
  <si>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</si>
  <si>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</si>
  <si>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10301FA007</t>
  </si>
  <si>
    <t>10301GA002</t>
  </si>
  <si>
    <t>10301HR002</t>
  </si>
  <si>
    <t>10301IT003</t>
  </si>
  <si>
    <t>10301CS001</t>
  </si>
  <si>
    <t>10301MS002</t>
  </si>
  <si>
    <t>10301FA006</t>
  </si>
  <si>
    <t>10301SC005</t>
  </si>
  <si>
    <t>10301GA003</t>
  </si>
  <si>
    <t>10301HR003</t>
  </si>
  <si>
    <t>10301MS005</t>
  </si>
  <si>
    <t>10301MS006</t>
  </si>
  <si>
    <t>10301SC002</t>
  </si>
  <si>
    <t>10301GA004</t>
  </si>
  <si>
    <t>10301HR004</t>
  </si>
  <si>
    <t>10301MS007</t>
  </si>
  <si>
    <t>10301GA005</t>
  </si>
  <si>
    <t>10301HR005</t>
  </si>
  <si>
    <t>10301HS002</t>
  </si>
  <si>
    <t>10301GA008</t>
  </si>
  <si>
    <t>10301HR007</t>
  </si>
  <si>
    <t>10301PR001</t>
  </si>
  <si>
    <t>10301MS001</t>
  </si>
  <si>
    <t>10301PR002</t>
  </si>
  <si>
    <t>Health &amp; Safety</t>
  </si>
  <si>
    <t>Environment</t>
  </si>
  <si>
    <t>USD</t>
  </si>
  <si>
    <t>BOARD OF DIRECTORS</t>
  </si>
  <si>
    <t>CORP. PLAN&amp;STRATEGY</t>
  </si>
  <si>
    <t>CORPORATE SECRETARY</t>
  </si>
  <si>
    <t>TREASURY</t>
  </si>
  <si>
    <t>FA</t>
  </si>
  <si>
    <t>ACCOUNTING</t>
  </si>
  <si>
    <t>TAX</t>
  </si>
  <si>
    <t>FIN. PLAN &amp; ANALYSIS</t>
  </si>
  <si>
    <t>PROJECT</t>
  </si>
  <si>
    <t>FINANCE</t>
  </si>
  <si>
    <t>FIXED ASSET MGT</t>
  </si>
  <si>
    <t>PROPERTY MAINTENANCE</t>
  </si>
  <si>
    <t>HOUSEKEEPING</t>
  </si>
  <si>
    <t>GA CUSTOMER CARE</t>
  </si>
  <si>
    <t>FOOD &amp; BEVERAGE</t>
  </si>
  <si>
    <t>LANDSCAPE</t>
  </si>
  <si>
    <t>CORP. VEHICLE MGT.</t>
  </si>
  <si>
    <t>TALENT MANAGEMENT</t>
  </si>
  <si>
    <t>HR ADMINISTRATION</t>
  </si>
  <si>
    <t>INDUSTRIAL RELATIONS</t>
  </si>
  <si>
    <t>PAYROLL, COMPBEN.</t>
  </si>
  <si>
    <t>TALENT ACQ. &amp; DEV.</t>
  </si>
  <si>
    <t>HR PROJECTS</t>
  </si>
  <si>
    <t>HEALTH &amp; SAFETY</t>
  </si>
  <si>
    <t>ENVIRONMENT</t>
  </si>
  <si>
    <t>INTERNAL AUDIT</t>
  </si>
  <si>
    <t>IT INFRASTRUCTURE</t>
  </si>
  <si>
    <t>10301IT002</t>
  </si>
  <si>
    <t>SECURITY ADMIN</t>
  </si>
  <si>
    <t>LAND MANAGEMENT</t>
  </si>
  <si>
    <t>INDUSTRY ASSOCIATION</t>
  </si>
  <si>
    <t>LICENSES &amp; PERMITS</t>
  </si>
  <si>
    <t>WEBSITE MASTER</t>
  </si>
  <si>
    <t>MEDIA REL/PRESS CONF</t>
  </si>
  <si>
    <t>PROCUREMENT</t>
  </si>
  <si>
    <t>10301SC006</t>
  </si>
  <si>
    <t>SCM INVENTORY</t>
  </si>
  <si>
    <t>10301SC007</t>
  </si>
  <si>
    <t>SCM WAREHOUSE FG</t>
  </si>
  <si>
    <t>SALES</t>
  </si>
  <si>
    <t>Cost Center Description</t>
  </si>
  <si>
    <t>Remarks</t>
  </si>
  <si>
    <t>Ledger Description</t>
  </si>
  <si>
    <t>Basis Calculation
(Price per Unit)</t>
  </si>
  <si>
    <t>Professional Fees</t>
  </si>
  <si>
    <t>Utilities - Electricity Expenses</t>
  </si>
  <si>
    <t>Utilities - Water Expenses</t>
  </si>
  <si>
    <t>Utilities - Oxigent, CO2, Elpiji,  Argon</t>
  </si>
  <si>
    <t>Utilities - Gas PGN (Perusahaan Gas Negara)</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</si>
  <si>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</si>
  <si>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</si>
  <si>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</si>
  <si>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</si>
  <si>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</si>
  <si>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</si>
  <si>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</si>
  <si>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</si>
  <si>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</si>
  <si>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</si>
  <si>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</si>
  <si>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</si>
  <si>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</si>
  <si>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</si>
  <si>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</si>
  <si>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</si>
  <si>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</si>
  <si>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</si>
  <si>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</si>
  <si>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</si>
  <si>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</si>
  <si>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</si>
  <si>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TL - Others Tax and License</t>
  </si>
  <si>
    <t>Gen. Transp. Freight Local</t>
  </si>
  <si>
    <t>Commission Expense</t>
  </si>
  <si>
    <t>Bank Charges</t>
  </si>
  <si>
    <t>Spareparts Consumption</t>
  </si>
  <si>
    <t>Master Activity Code 
(IO Number)</t>
  </si>
  <si>
    <t>Responsible Cost Center</t>
  </si>
  <si>
    <t>G/L Account</t>
  </si>
  <si>
    <t>Master Activity Description</t>
  </si>
  <si>
    <t>Detail Activity (Spesific detail of activity)</t>
  </si>
  <si>
    <t>Existing Master Activity</t>
  </si>
  <si>
    <t>Indirect material</t>
  </si>
  <si>
    <t>Direct labor</t>
  </si>
  <si>
    <t>Provision for Employee Ben</t>
  </si>
  <si>
    <t>Third Parties Services</t>
  </si>
  <si>
    <t>Utilities</t>
  </si>
  <si>
    <t>Repairs &amp; Maintenance Exp</t>
  </si>
  <si>
    <t>Laboratory Cost</t>
  </si>
  <si>
    <t>Export Expenses</t>
  </si>
  <si>
    <t>Import Expenses</t>
  </si>
  <si>
    <t>Advertising Expenses</t>
  </si>
  <si>
    <t>Training Expenses</t>
  </si>
  <si>
    <t>Insurance Expenses</t>
  </si>
  <si>
    <t>Rental Expenses</t>
  </si>
  <si>
    <t>Postage &amp; Telecom. E</t>
  </si>
  <si>
    <t>Entertainment Expenses</t>
  </si>
  <si>
    <t>Tax and Licenses Expenses</t>
  </si>
  <si>
    <t>Stationery &amp; Supplies Expe</t>
  </si>
  <si>
    <t>Meeting &amp; Ceremony Expense</t>
  </si>
  <si>
    <t>General Transportation Exp</t>
  </si>
  <si>
    <t>Equipment Expenses</t>
  </si>
  <si>
    <t>Membership &amp; Sponsorship</t>
  </si>
  <si>
    <t>Variance</t>
  </si>
  <si>
    <t>Employee Cost</t>
  </si>
  <si>
    <t>Services Expense</t>
  </si>
  <si>
    <t>Repairs &amp; Maintenance Expe</t>
  </si>
  <si>
    <t>Postage &amp; Telecom E</t>
  </si>
  <si>
    <t>BSPL Mapping</t>
  </si>
  <si>
    <t>Salary, wages and allowance</t>
  </si>
  <si>
    <t>Miscellaneous expense</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</si>
  <si>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</si>
  <si>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</si>
  <si>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</si>
  <si>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</si>
  <si>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</si>
  <si>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</si>
  <si>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</si>
  <si>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</si>
  <si>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</si>
  <si>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</si>
  <si>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</si>
  <si>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</si>
  <si>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</si>
  <si>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</si>
  <si>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</si>
  <si>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</si>
  <si>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DL Incentives</t>
  </si>
  <si>
    <t>Packing Cost</t>
  </si>
  <si>
    <t>Level of Requirement</t>
  </si>
  <si>
    <t>Type of Expense</t>
  </si>
  <si>
    <t>Supplier / Vendor</t>
  </si>
  <si>
    <t>Basis Calculation
in Original Currency</t>
  </si>
  <si>
    <t>Basis Calculation
(Unit/Qty/Freq/Month)</t>
  </si>
  <si>
    <t>GLLIST</t>
  </si>
  <si>
    <t>Budget Opex Detail</t>
  </si>
  <si>
    <t>Activity Master</t>
  </si>
  <si>
    <t>Bagian 1. Existing Master Activity</t>
  </si>
  <si>
    <t>Jika terdapat aktivitas baru yang belum mempunyai master activity.</t>
  </si>
  <si>
    <t>Master Activity Code</t>
  </si>
  <si>
    <t>Biaya yang terkait dengan pengiriman barang ke customer lokal</t>
  </si>
  <si>
    <t>Naming Check</t>
  </si>
  <si>
    <t>Reviewed by:</t>
  </si>
  <si>
    <t>(Yohanes Yamin)</t>
  </si>
  <si>
    <t>PF - Management Fee</t>
  </si>
  <si>
    <t>Sales &amp; Procurement</t>
  </si>
  <si>
    <t>Finance &amp; Accounting</t>
  </si>
  <si>
    <t>Weighbridge</t>
  </si>
  <si>
    <t>Government Relation</t>
  </si>
  <si>
    <t>Project Name / Capex Name</t>
  </si>
  <si>
    <t>Detail Activity / Project Description</t>
  </si>
  <si>
    <t>Priority</t>
  </si>
  <si>
    <t>Basis Calculation</t>
  </si>
  <si>
    <t>Estimation Start Date</t>
  </si>
  <si>
    <t>Estimation Finish Date</t>
  </si>
  <si>
    <t>10131PP001</t>
  </si>
  <si>
    <t>10131PP009</t>
  </si>
  <si>
    <t>10131PP010</t>
  </si>
  <si>
    <t>10131PS001</t>
  </si>
  <si>
    <t>10131PS002</t>
  </si>
  <si>
    <t>10131PS003</t>
  </si>
  <si>
    <t>10131PS004</t>
  </si>
  <si>
    <t>10131PS006</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</si>
  <si>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</si>
  <si>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</si>
  <si>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</si>
  <si>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</si>
  <si>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</si>
  <si>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</si>
  <si>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</si>
  <si>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</si>
  <si>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</si>
  <si>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</si>
  <si>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</si>
  <si>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</si>
  <si>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</si>
  <si>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</si>
  <si>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</si>
  <si>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10101PS002</t>
  </si>
  <si>
    <t>10101PS003</t>
  </si>
  <si>
    <t>10101PS004</t>
  </si>
  <si>
    <t>10101PS005</t>
  </si>
  <si>
    <t>10101PS006</t>
  </si>
  <si>
    <t>10101PS007</t>
  </si>
  <si>
    <t>10101PS008</t>
  </si>
  <si>
    <t>10103PP001</t>
  </si>
  <si>
    <t>BP1 PRODUCTION DEPT</t>
  </si>
  <si>
    <t>10103PP009</t>
  </si>
  <si>
    <t>BP1 REPAIR</t>
  </si>
  <si>
    <t>10103PP010</t>
  </si>
  <si>
    <t>10103PS001</t>
  </si>
  <si>
    <t>10103PS002</t>
  </si>
  <si>
    <t>10103PS003</t>
  </si>
  <si>
    <t>10103PS004</t>
  </si>
  <si>
    <t>10103PS006</t>
  </si>
  <si>
    <t>BP1 CRANE DEPARTMENT</t>
  </si>
  <si>
    <t>CEM</t>
  </si>
  <si>
    <t>PPIC</t>
  </si>
  <si>
    <t>10202SU006</t>
  </si>
  <si>
    <t>10202SU007</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</si>
  <si>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</si>
  <si>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</si>
  <si>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</si>
  <si>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</si>
  <si>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</si>
  <si>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</si>
  <si>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</si>
  <si>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</si>
  <si>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</si>
  <si>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Intangible Asset - Licence</t>
  </si>
  <si>
    <t>FA - Assets Under Construction - Building</t>
  </si>
  <si>
    <t>FA - Assets Under Construction - Machinery</t>
  </si>
  <si>
    <t>FA - Assets Under Construction - Equipment</t>
  </si>
  <si>
    <t>FA - Assets Under Construction - Heavy Equipment</t>
  </si>
  <si>
    <t>FA-Assets Under Construction-Leasehold improvement</t>
  </si>
  <si>
    <t>FIXED ASSET</t>
  </si>
  <si>
    <t>GL Account</t>
  </si>
  <si>
    <t>LSM</t>
  </si>
  <si>
    <t>SMS1</t>
  </si>
  <si>
    <t>Sequence Number</t>
  </si>
  <si>
    <t>Classification</t>
  </si>
  <si>
    <t>BP</t>
  </si>
  <si>
    <t>BU</t>
  </si>
  <si>
    <t>SSC</t>
  </si>
  <si>
    <t>SU</t>
  </si>
  <si>
    <t>Diisi bila department/divisi terkait mempunyai capex/project budget untuk periode ini.</t>
  </si>
  <si>
    <t>Profit Center / Cost Center</t>
  </si>
  <si>
    <t>Expense / Nama Project</t>
  </si>
  <si>
    <t xml:space="preserve">Diisi dengan deskripsi jenis capex/project yang dibudgetkan.
 Contoh:
   - Beautification of Factory
   - Laptop
   - Plant Upgrade and Modification </t>
  </si>
  <si>
    <t>Detail Activity</t>
  </si>
  <si>
    <t>Basis perhitungan nilai assumsi untuk aktivitas project/capex terkait.</t>
  </si>
  <si>
    <t>Estimasi / target Project dimulai</t>
  </si>
  <si>
    <t xml:space="preserve">Estimasi / target Project selesai </t>
  </si>
  <si>
    <t>Table 2.1. List Ledger Capex / Project</t>
  </si>
  <si>
    <t>FA-Assets Under Construction - Intangible Asset</t>
  </si>
  <si>
    <t>Sheet 4 : Activity Master</t>
  </si>
  <si>
    <t>Ledger Account</t>
  </si>
  <si>
    <t>Description</t>
  </si>
  <si>
    <t>High</t>
  </si>
  <si>
    <t>Medium</t>
  </si>
  <si>
    <t>Low</t>
  </si>
  <si>
    <t>Recurring activities</t>
  </si>
  <si>
    <t>aktivitas dan biaya yg diprediksi kemungkinan besar akan terjadi di tahun anggaran tersebut</t>
  </si>
  <si>
    <t>aktivitas dan biaya cadangan</t>
  </si>
  <si>
    <t>Supporting Document</t>
  </si>
  <si>
    <t>Internal Memo</t>
  </si>
  <si>
    <t>Marketplace</t>
  </si>
  <si>
    <t>RAB</t>
  </si>
  <si>
    <t>Vendor Quotation</t>
  </si>
  <si>
    <t>(Nazla Sagita)</t>
  </si>
  <si>
    <t>(Catherine Sandra)</t>
  </si>
  <si>
    <t>(Mamoru Nakata)</t>
  </si>
  <si>
    <t>(Tony Taniwan)</t>
  </si>
  <si>
    <t>FINANCIAL PLANNING &amp; TRANSACTION SENIOR MANAGER</t>
  </si>
  <si>
    <t>Approved by :</t>
  </si>
  <si>
    <t>Prepared by:</t>
  </si>
  <si>
    <t>IDR</t>
  </si>
  <si>
    <t>Original Currency 
(USD/IDR)</t>
  </si>
  <si>
    <t>Original Currency Value</t>
  </si>
  <si>
    <t>QAQC</t>
  </si>
  <si>
    <t>CL001-00001</t>
  </si>
  <si>
    <t>PF - Notary/PPAT</t>
  </si>
  <si>
    <t>CL001-00002</t>
  </si>
  <si>
    <t>PF - Legal Consultant</t>
  </si>
  <si>
    <t>CL001-00003</t>
  </si>
  <si>
    <t>Translator</t>
  </si>
  <si>
    <t>CL001-00008</t>
  </si>
  <si>
    <t>Advertising Expense</t>
  </si>
  <si>
    <t>CL001-00016</t>
  </si>
  <si>
    <t>PF - Legal Services</t>
  </si>
  <si>
    <t>CL001-00014</t>
  </si>
  <si>
    <t>Printing - Banner &amp; Letter</t>
  </si>
  <si>
    <t>CL001-00015</t>
  </si>
  <si>
    <t>Document Postage</t>
  </si>
  <si>
    <t>CL001-00013</t>
  </si>
  <si>
    <t>CS001-00003</t>
  </si>
  <si>
    <t>Company Profile Printing Permit</t>
  </si>
  <si>
    <t>MS005-00004</t>
  </si>
  <si>
    <t>Land &amp; Property Tax</t>
  </si>
  <si>
    <t>Reason for increase/decrease</t>
  </si>
  <si>
    <t>Control</t>
  </si>
  <si>
    <t>MS008-00017</t>
  </si>
  <si>
    <t>Izin TPS Limbah B3</t>
  </si>
  <si>
    <t>MS008-00003</t>
  </si>
  <si>
    <t>Hampers for External Parties</t>
  </si>
  <si>
    <t>MS008-00013</t>
  </si>
  <si>
    <t>Event - Sport</t>
  </si>
  <si>
    <t>MS008-00002</t>
  </si>
  <si>
    <t>Meeting with External Parties</t>
  </si>
  <si>
    <t>MS008-00012</t>
  </si>
  <si>
    <t>Event - Focus Group Discussion</t>
  </si>
  <si>
    <t>MS008-00010</t>
  </si>
  <si>
    <t>Business Trip</t>
  </si>
  <si>
    <t>MS008-00008</t>
  </si>
  <si>
    <t>TL - Tingkat Komponen Dalam Negeri</t>
  </si>
  <si>
    <t>MS008-00001</t>
  </si>
  <si>
    <t>Bea Masuk Anti Dumping</t>
  </si>
  <si>
    <t>MS008-00018</t>
  </si>
  <si>
    <t>Persetujuan Teknis Emisi Cerobong</t>
  </si>
  <si>
    <t>MS008-00037</t>
  </si>
  <si>
    <t>Operasional Audit Surveilance</t>
  </si>
  <si>
    <t>MS008-00004</t>
  </si>
  <si>
    <t>Restribution - Water Intake Building</t>
  </si>
  <si>
    <t>MS008-00006</t>
  </si>
  <si>
    <t>TL - Surveilance SNI (Balai Sertifikasi)</t>
  </si>
  <si>
    <t>MS008-00007</t>
  </si>
  <si>
    <t>Restribution - Uji Sample Audit SNI</t>
  </si>
  <si>
    <t>MS008-00009</t>
  </si>
  <si>
    <t>TL - Perpanjang Izin Alat Kerja</t>
  </si>
  <si>
    <t>MS008-00038</t>
  </si>
  <si>
    <t>Kalibrasi flow meter</t>
  </si>
  <si>
    <t>MS008-00005</t>
  </si>
  <si>
    <t>Restribution - Perpanjangan SK Domisili</t>
  </si>
  <si>
    <t>MS008-00014</t>
  </si>
  <si>
    <t>Event - Government Visit</t>
  </si>
  <si>
    <t>MS008-00039</t>
  </si>
  <si>
    <t>MS008-00040</t>
  </si>
  <si>
    <t>Pertek Limbah Cair</t>
  </si>
  <si>
    <t>MS008-00025</t>
  </si>
  <si>
    <t>Izin SIPSDA</t>
  </si>
  <si>
    <t>MS008-00041</t>
  </si>
  <si>
    <t>Import approval</t>
  </si>
  <si>
    <t>MS008-00042</t>
  </si>
  <si>
    <t>Hak Kekayaan Intelektual (Haki) Brand</t>
  </si>
  <si>
    <t>Deputy Head Of Finance</t>
  </si>
  <si>
    <t>Deputy President Director</t>
  </si>
  <si>
    <t>President Director</t>
  </si>
  <si>
    <t>Board Of Director</t>
  </si>
  <si>
    <t>Board Of Commisioners</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</si>
  <si>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</si>
  <si>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</si>
  <si>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</si>
  <si>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</si>
  <si>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</si>
  <si>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</si>
  <si>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</si>
  <si>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</si>
  <si>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</si>
  <si>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</si>
  <si>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</si>
  <si>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PETUNJUK PENGISIAN ANGGARAN TAHUNAN (MASTER BUDGET) PERIODE 2026</t>
  </si>
  <si>
    <t>Rencana Aktivitas yang akan dilakukan di tahun 2026</t>
  </si>
  <si>
    <t>Jan - Dec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</si>
  <si>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</si>
  <si>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</si>
  <si>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</si>
  <si>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</si>
  <si>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</si>
  <si>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</si>
  <si>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</si>
  <si>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</si>
  <si>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Budget 2025</t>
  </si>
  <si>
    <t>Outstanding PO 2025</t>
  </si>
  <si>
    <t>Aktivitas yang sudah terdaftar selama tahun 2025.</t>
  </si>
  <si>
    <t>GUIDANCES FOR FILLING OUT THE ANNUAL BUDGET (MASTER BUDGET) FOR THE PERIOD 2026</t>
  </si>
  <si>
    <t>Section 2. Proposed New Activity 2026</t>
  </si>
  <si>
    <t>Financial Planning &amp; Analysis Manager</t>
  </si>
  <si>
    <t>General Manager Finance &amp; Accounting</t>
  </si>
  <si>
    <t>Amount
(IDR)</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</si>
  <si>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</si>
  <si>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</si>
  <si>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</si>
  <si>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</si>
  <si>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</si>
  <si>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</si>
  <si>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</si>
  <si>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</si>
  <si>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</si>
  <si>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</si>
  <si>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</si>
  <si>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</si>
  <si>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</si>
  <si>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Proposed New Activity 2026</t>
  </si>
  <si>
    <t>Annual Budget 2025</t>
  </si>
  <si>
    <t>Actual
(Jan-Jul 2025)</t>
  </si>
  <si>
    <t>New Activity 2026</t>
  </si>
  <si>
    <t>Amount Budget 2026
(Original Currency)</t>
  </si>
  <si>
    <t>Amount Budget 2026
(IDR)</t>
  </si>
  <si>
    <t>Outstanding PO 2025
(Realised in 2026)
PO Number</t>
  </si>
  <si>
    <t>Outstanding PO 2025
(Realised in 2026)
IDR</t>
  </si>
  <si>
    <t>Membership - Hukum Online</t>
  </si>
  <si>
    <t xml:space="preserve">Printing - Banner </t>
  </si>
  <si>
    <t xml:space="preserve">Event RUPS </t>
  </si>
  <si>
    <t>Directors and Officers Liability</t>
  </si>
  <si>
    <t>Comperehensive General Liability (Public &amp; Product Liability)</t>
  </si>
  <si>
    <t>Consultant Safeguard</t>
  </si>
  <si>
    <t>Subscription -  Mekari Sign</t>
  </si>
  <si>
    <t>Subscription - Adobe Pro DC</t>
  </si>
  <si>
    <t>Environmental Approval Permit</t>
  </si>
  <si>
    <t>CL001-00017</t>
  </si>
  <si>
    <t>CL001-00018</t>
  </si>
  <si>
    <t>CS001-00012</t>
  </si>
  <si>
    <t>CS001-00013</t>
  </si>
  <si>
    <t>MS008-00044</t>
  </si>
  <si>
    <t>MS008-00045</t>
  </si>
  <si>
    <t>Audit Energy</t>
  </si>
  <si>
    <t>CL001-00005</t>
  </si>
  <si>
    <t>CL001-00004</t>
  </si>
  <si>
    <t>CL001-00007</t>
  </si>
  <si>
    <t>CL001-00009</t>
  </si>
  <si>
    <t>CL001-00011</t>
  </si>
  <si>
    <t>Postage and Courier - Document</t>
  </si>
  <si>
    <t>CS001-00001</t>
  </si>
  <si>
    <t>RUPS - Rental Equipment</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</si>
  <si>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</si>
  <si>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</si>
  <si>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</si>
  <si>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</si>
  <si>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</si>
  <si>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</si>
  <si>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</si>
  <si>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</si>
  <si>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</si>
  <si>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</si>
  <si>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</si>
  <si>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</si>
  <si>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</si>
  <si>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Proposed Budget 2026 + Outstanding PO 2025
IDR</t>
  </si>
  <si>
    <t>10301MS010</t>
  </si>
  <si>
    <t>PD Office</t>
  </si>
  <si>
    <t>Legal &amp; Compliance</t>
  </si>
  <si>
    <t>Business Unit (BU)</t>
  </si>
  <si>
    <t>Service Unit (SU)</t>
  </si>
  <si>
    <t>HRGA</t>
  </si>
  <si>
    <t>Board of Directors</t>
  </si>
  <si>
    <t>General Counsel</t>
  </si>
  <si>
    <t>SCM Logistics</t>
  </si>
  <si>
    <t>Government Relation &amp; EA</t>
  </si>
  <si>
    <t>ELECTRICAL</t>
  </si>
  <si>
    <t>Compliance &amp; Governance</t>
  </si>
  <si>
    <t>SCM Warehouse &amp; Inventory</t>
  </si>
  <si>
    <t>SMS</t>
  </si>
  <si>
    <t>MECHANICAL</t>
  </si>
  <si>
    <t>Permit &amp; Licensing</t>
  </si>
  <si>
    <t>SCM Grader</t>
  </si>
  <si>
    <t>MSN</t>
  </si>
  <si>
    <t>Sustainability</t>
  </si>
  <si>
    <t>PD OFFICE</t>
  </si>
  <si>
    <t>10301BD002</t>
  </si>
  <si>
    <t>HEAD OF PRODUCTION</t>
  </si>
  <si>
    <t>LEGAL &amp; COMPLIANCE</t>
  </si>
  <si>
    <t>10301FA008</t>
  </si>
  <si>
    <t>HEAD OF FINANCE EXP</t>
  </si>
  <si>
    <t>IT BUSINESS SOLUTION</t>
  </si>
  <si>
    <t>10301IT004</t>
  </si>
  <si>
    <t>HEAD OF IT EXPENSES</t>
  </si>
  <si>
    <t>REGULATORY &amp; EXT AFFAIRS</t>
  </si>
  <si>
    <t>SCM LOGISTICS</t>
  </si>
  <si>
    <t>SCM WAREHOUSE SPC</t>
  </si>
  <si>
    <t>SCM GRADER</t>
  </si>
  <si>
    <t>10301SC009</t>
  </si>
  <si>
    <t>HEAD OF SCM</t>
  </si>
  <si>
    <t>SALES &amp; PROCUREMENT</t>
  </si>
  <si>
    <t>10301SM004</t>
  </si>
  <si>
    <t>HEAD OF SALES EXP</t>
  </si>
  <si>
    <t>10301SC008</t>
  </si>
  <si>
    <t>HEAD OF PROCUREMENT</t>
  </si>
  <si>
    <t>10202SU001</t>
  </si>
  <si>
    <t>10202SU009</t>
  </si>
  <si>
    <t>ELECTRICAL MT &amp; PROJ</t>
  </si>
  <si>
    <t>TECH SUPPORT PPIC</t>
  </si>
  <si>
    <t>TECH SUPPORTING QA</t>
  </si>
  <si>
    <t>10202SU017</t>
  </si>
  <si>
    <t>MACHINE SHOP</t>
  </si>
  <si>
    <t>SL</t>
  </si>
  <si>
    <t>PC</t>
  </si>
  <si>
    <t>Corporate Planning</t>
  </si>
  <si>
    <t>GR</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</si>
  <si>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</si>
  <si>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</si>
  <si>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</si>
  <si>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</si>
  <si>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</si>
  <si>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</si>
  <si>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</si>
  <si>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</si>
  <si>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</si>
  <si>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</si>
  <si>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</si>
  <si>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</si>
  <si>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</si>
  <si>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</si>
  <si>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</si>
  <si>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BP1 ELECTRICAL DEPT</t>
  </si>
  <si>
    <t>BP1 MECHANICAL DEPT</t>
  </si>
  <si>
    <t>BP1 PPIC DEPT</t>
  </si>
  <si>
    <t>BP1 QA/QC DEPT</t>
  </si>
  <si>
    <t>Exchange rate</t>
  </si>
  <si>
    <t>Justification of the budget</t>
  </si>
  <si>
    <t>IO/Project ID Group</t>
  </si>
  <si>
    <t>IO/Project ID</t>
  </si>
  <si>
    <t>Estimated budget consumed (based on PO)</t>
  </si>
  <si>
    <t>Estimated expense recorded (based on GRN)</t>
  </si>
  <si>
    <t>Exchange rate (USD)</t>
  </si>
  <si>
    <t>Why this budget required?
(Justification)</t>
  </si>
  <si>
    <t>Proposed Delete/close Activity 2026</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</si>
  <si>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</si>
  <si>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</si>
  <si>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</si>
  <si>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</si>
  <si>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</si>
  <si>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</si>
  <si>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</si>
  <si>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</si>
  <si>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</si>
  <si>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</si>
  <si>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</si>
  <si>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</si>
  <si>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</si>
  <si>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</si>
  <si>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</si>
  <si>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</si>
  <si>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</si>
  <si>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</si>
  <si>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</si>
  <si>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</si>
  <si>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</si>
  <si>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</si>
  <si>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</si>
  <si>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</si>
  <si>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</si>
  <si>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</si>
  <si>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</si>
  <si>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Jumlah anggaran per ledger dan per bulan yang dibutuhkan di tahun 2026
- Disajikan dalam mata uang IDR
- Nilai yang dibudgetkan adalah nilai DPP(exclude PPn)
- Nilai yang diisi didetailkan berdasakan detail aktivitas</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</si>
  <si>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</si>
  <si>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</si>
  <si>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</si>
  <si>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</si>
  <si>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</si>
  <si>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</si>
  <si>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</si>
  <si>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</si>
  <si>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</si>
  <si>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</si>
  <si>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</si>
  <si>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</si>
  <si>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</si>
  <si>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</si>
  <si>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</si>
  <si>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</si>
  <si>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</si>
  <si>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</si>
  <si>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</si>
  <si>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</si>
  <si>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</si>
  <si>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</si>
  <si>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</si>
  <si>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</si>
  <si>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</si>
  <si>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</si>
  <si>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</si>
  <si>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</si>
  <si>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</si>
  <si>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</si>
  <si>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</si>
  <si>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</si>
  <si>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</si>
  <si>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</si>
  <si>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</si>
  <si>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</si>
  <si>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</si>
  <si>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</si>
  <si>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</si>
  <si>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</si>
  <si>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</si>
  <si>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</si>
  <si>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</si>
  <si>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</si>
  <si>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</si>
  <si>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</si>
  <si>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</si>
  <si>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</si>
  <si>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</si>
  <si>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</si>
  <si>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</si>
  <si>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</si>
  <si>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</si>
  <si>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</si>
  <si>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</si>
  <si>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</si>
  <si>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</si>
  <si>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</si>
  <si>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</si>
  <si>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</si>
  <si>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</si>
  <si>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</si>
  <si>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</si>
  <si>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</si>
  <si>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</si>
  <si>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</si>
  <si>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</si>
  <si>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</si>
  <si>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</si>
  <si>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</si>
  <si>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</si>
  <si>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</si>
  <si>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</si>
  <si>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</si>
  <si>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</si>
  <si>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</si>
  <si>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</si>
  <si>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</si>
  <si>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</si>
  <si>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</si>
  <si>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</si>
  <si>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</si>
  <si>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</si>
  <si>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</si>
  <si>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</si>
  <si>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</si>
  <si>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</si>
  <si>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</si>
  <si>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</si>
  <si>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</si>
  <si>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</si>
  <si>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</si>
  <si>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</si>
  <si>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</si>
  <si>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</si>
  <si>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</si>
  <si>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</si>
  <si>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</si>
  <si>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</si>
  <si>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</si>
  <si>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</si>
  <si>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</si>
  <si>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</si>
  <si>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</si>
  <si>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</si>
  <si>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</si>
  <si>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</si>
  <si>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</si>
  <si>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</si>
  <si>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</si>
  <si>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</si>
  <si>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</si>
  <si>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</si>
  <si>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</si>
  <si>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</si>
  <si>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</si>
  <si>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</si>
  <si>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</si>
  <si>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</si>
  <si>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</si>
  <si>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</si>
  <si>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</si>
  <si>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</si>
  <si>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</si>
  <si>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</si>
  <si>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</si>
  <si>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</si>
  <si>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</si>
  <si>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</si>
  <si>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</si>
  <si>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</si>
  <si>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</si>
  <si>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</si>
  <si>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</si>
  <si>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</si>
  <si>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</si>
  <si>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</si>
  <si>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</si>
  <si>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</si>
  <si>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</si>
  <si>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</si>
  <si>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</si>
  <si>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</si>
  <si>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</si>
  <si>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</si>
  <si>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</si>
  <si>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</si>
  <si>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</si>
  <si>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</si>
  <si>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</si>
  <si>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</si>
  <si>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</si>
  <si>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</si>
  <si>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</si>
  <si>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</si>
  <si>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</si>
  <si>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</si>
  <si>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</si>
  <si>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</si>
  <si>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</si>
  <si>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</si>
  <si>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</si>
  <si>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</si>
  <si>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</si>
  <si>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</si>
  <si>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</si>
  <si>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</si>
  <si>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</si>
  <si>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</si>
  <si>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</si>
  <si>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</si>
  <si>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</si>
  <si>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</si>
  <si>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</si>
  <si>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</si>
  <si>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</si>
  <si>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</si>
  <si>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</si>
  <si>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</si>
  <si>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</si>
  <si>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</si>
  <si>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</si>
  <si>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</si>
  <si>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</si>
  <si>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</si>
  <si>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</si>
  <si>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</si>
  <si>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</si>
  <si>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</si>
  <si>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</si>
  <si>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</si>
  <si>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</si>
  <si>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</si>
  <si>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</si>
  <si>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</si>
  <si>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</si>
  <si>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</si>
  <si>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</si>
  <si>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</si>
  <si>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</si>
  <si>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</si>
  <si>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</si>
  <si>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</si>
  <si>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</si>
  <si>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</si>
  <si>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</si>
  <si>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</si>
  <si>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</si>
  <si>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</si>
  <si>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</si>
  <si>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</si>
  <si>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</si>
  <si>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</si>
  <si>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</si>
  <si>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</si>
  <si>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</si>
  <si>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</si>
  <si>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</si>
  <si>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</si>
  <si>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</si>
  <si>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</si>
  <si>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</si>
  <si>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</si>
  <si>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</si>
  <si>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</si>
  <si>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</si>
  <si>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</si>
  <si>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</si>
  <si>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</si>
  <si>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</si>
  <si>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</si>
  <si>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</si>
  <si>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</si>
  <si>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</si>
  <si>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</si>
  <si>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</si>
  <si>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</si>
  <si>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</si>
  <si>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</si>
  <si>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</si>
  <si>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</si>
  <si>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</si>
  <si>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</si>
  <si>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</si>
  <si>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</si>
  <si>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</si>
  <si>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</si>
  <si>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</si>
  <si>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</si>
  <si>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</si>
  <si>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</si>
  <si>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</si>
  <si>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</si>
  <si>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</si>
  <si>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</si>
  <si>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</si>
  <si>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</si>
  <si>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</si>
  <si>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</si>
  <si>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</si>
  <si>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</si>
  <si>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</si>
  <si>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</si>
  <si>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</si>
  <si>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</si>
  <si>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</si>
  <si>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</si>
  <si>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</si>
  <si>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</si>
  <si>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</si>
  <si>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</si>
  <si>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</si>
  <si>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</si>
  <si>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</si>
  <si>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</si>
  <si>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</si>
  <si>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</si>
  <si>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</si>
  <si>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</si>
  <si>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</si>
  <si>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</si>
  <si>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</si>
  <si>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</si>
  <si>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</si>
  <si>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</si>
  <si>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</si>
  <si>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</si>
  <si>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</si>
  <si>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</si>
  <si>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</si>
  <si>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</si>
  <si>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</si>
  <si>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</si>
  <si>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</si>
  <si>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</si>
  <si>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</si>
  <si>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</si>
  <si>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</si>
  <si>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</si>
  <si>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</si>
  <si>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</si>
  <si>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</si>
  <si>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</si>
  <si>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</si>
  <si>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</si>
  <si>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</si>
  <si>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</si>
  <si>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</si>
  <si>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</si>
  <si>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</si>
  <si>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</si>
  <si>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</si>
  <si>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</si>
  <si>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</si>
  <si>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</si>
  <si>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</si>
  <si>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</si>
  <si>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</si>
  <si>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</si>
  <si>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</si>
  <si>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</si>
  <si>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</si>
  <si>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</si>
  <si>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</si>
  <si>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</si>
  <si>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</si>
  <si>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</si>
  <si>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</si>
  <si>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</si>
  <si>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</si>
  <si>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</si>
  <si>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</si>
  <si>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</si>
  <si>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</si>
  <si>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</si>
  <si>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</si>
  <si>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</si>
  <si>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</si>
  <si>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</si>
  <si>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</si>
  <si>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</si>
  <si>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</si>
  <si>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</si>
  <si>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</si>
  <si>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</si>
  <si>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</si>
  <si>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</si>
  <si>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</si>
  <si>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</si>
  <si>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</si>
  <si>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</si>
  <si>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</si>
  <si>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</si>
  <si>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</si>
  <si>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</si>
  <si>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</si>
  <si>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</si>
  <si>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</si>
  <si>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</si>
  <si>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</si>
  <si>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</si>
  <si>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</si>
  <si>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</si>
  <si>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</si>
  <si>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</si>
  <si>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</si>
  <si>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</si>
  <si>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</si>
  <si>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</si>
  <si>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</si>
  <si>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</si>
  <si>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</si>
  <si>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</si>
  <si>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</si>
  <si>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</si>
  <si>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</si>
  <si>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</si>
  <si>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</si>
  <si>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</si>
  <si>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</si>
  <si>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</si>
  <si>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</si>
  <si>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</si>
  <si>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</si>
  <si>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</si>
  <si>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</si>
  <si>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</si>
  <si>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</si>
  <si>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</si>
  <si>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</si>
  <si>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</si>
  <si>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</si>
  <si>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</si>
  <si>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</si>
  <si>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</si>
  <si>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</si>
  <si>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</si>
  <si>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</si>
  <si>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</si>
  <si>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</si>
  <si>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</si>
  <si>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</si>
  <si>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</si>
  <si>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</si>
  <si>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</si>
  <si>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</si>
  <si>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</si>
  <si>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</si>
  <si>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</si>
  <si>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</si>
  <si>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</si>
  <si>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</si>
  <si>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</si>
  <si>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</si>
  <si>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</si>
  <si>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</si>
  <si>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</si>
  <si>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</si>
  <si>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</si>
  <si>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</si>
  <si>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</si>
  <si>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</si>
  <si>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</si>
  <si>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</si>
  <si>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</si>
  <si>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</si>
  <si>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</si>
  <si>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</si>
  <si>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</si>
  <si>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</si>
  <si>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</si>
  <si>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</si>
  <si>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</si>
  <si>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</si>
  <si>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</si>
  <si>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</si>
  <si>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</si>
  <si>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</si>
  <si>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</si>
  <si>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</si>
  <si>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</si>
  <si>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</si>
  <si>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</si>
  <si>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</si>
  <si>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</si>
  <si>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</si>
  <si>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</si>
  <si>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</si>
  <si>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</si>
  <si>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</si>
  <si>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</si>
  <si>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Cost centre</t>
  </si>
  <si>
    <t>Cost centre code</t>
  </si>
  <si>
    <t>Cost centre description</t>
  </si>
  <si>
    <t>Project ID - Code</t>
  </si>
  <si>
    <t>IO - Code</t>
  </si>
  <si>
    <t>BP1 ROLLER</t>
  </si>
  <si>
    <t>PD</t>
  </si>
  <si>
    <t>CLC</t>
  </si>
  <si>
    <t>Accounting &amp; Fixed Asset Management</t>
  </si>
  <si>
    <t>List General Ledger</t>
  </si>
  <si>
    <t>Table 3.3. List Ledger CAPEX</t>
  </si>
  <si>
    <t>IO &amp; Project ID - Group</t>
  </si>
  <si>
    <t>Related Departments</t>
  </si>
  <si>
    <t>CAPEX Priority</t>
  </si>
  <si>
    <t>CAPEX</t>
  </si>
  <si>
    <t>OPEX</t>
  </si>
  <si>
    <t>Ctrl to Master Data</t>
  </si>
  <si>
    <t>Ledger Expense Group / Type</t>
  </si>
  <si>
    <t>Selling / GA</t>
  </si>
  <si>
    <t>LSM REPAIR</t>
  </si>
  <si>
    <t>A0126</t>
  </si>
  <si>
    <t>A0226</t>
  </si>
  <si>
    <t>A0326</t>
  </si>
  <si>
    <t>A0426</t>
  </si>
  <si>
    <t>A0526</t>
  </si>
  <si>
    <t>A0626</t>
  </si>
  <si>
    <t>A0726</t>
  </si>
  <si>
    <t>A0826</t>
  </si>
  <si>
    <t>A0926</t>
  </si>
  <si>
    <t>A1126</t>
  </si>
  <si>
    <t>x</t>
  </si>
  <si>
    <t>&gt;&gt; New CC</t>
  </si>
  <si>
    <t>Permits &amp; Licensing</t>
  </si>
  <si>
    <t>Legal Commercial</t>
  </si>
  <si>
    <t>Regulatory &amp; external affair</t>
  </si>
  <si>
    <t>Budget Capex Detail</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</si>
  <si>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</si>
  <si>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Master Data</t>
  </si>
  <si>
    <t>SUSTAINABILITY</t>
  </si>
  <si>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</si>
  <si>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</si>
  <si>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</si>
  <si>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</si>
  <si>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</si>
  <si>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</si>
  <si>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</si>
  <si>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</si>
  <si>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Biaya lain-lain yang tidak termasuk pada kategori biaya tersebut di atas</t>
  </si>
  <si>
    <t>Other expenses not included in the categories mentioned above</t>
  </si>
  <si>
    <t>(Bambang Dhanisworo)</t>
  </si>
  <si>
    <t>BU/SU/HO</t>
  </si>
  <si>
    <t>Purpose of engaging legal services from a Notary and PPAT (Pejabat Pembuat Akta Tanah) is to ensure the proper legal verification, documentation, and approval of transactions related to loan agreements with banks</t>
  </si>
  <si>
    <t>Purpose of engaging legal consultants on a retainer or project basis is to ensure that GYS has access to expert legal advice and support for handling various legal matters. This includes reviewing significant commercial contracts, managing potential litigation cases, and providing legal opinions to safeguard GYS’s interests</t>
  </si>
  <si>
    <t>Consultant's annual fee for providing expert guidance on safeguard compliance and regulatory strategies for PT Garuda Yamato Steel, ensuring adherence to industry standards and legal protections.</t>
  </si>
  <si>
    <t>Membership to get up-to-date legal resources, including regulation roundups, latest regulations, and legal analysis</t>
  </si>
  <si>
    <t>Handles tasks involving the review of documents like Agreements, Contracts, Deeds, etc.</t>
  </si>
  <si>
    <t>Registering and maintaining intellectual property rights (HAKI) for the GYS brand</t>
  </si>
  <si>
    <t>Consultant to assist in preparing the necessary documents and conducting assessments for the scrap import quota is essential for ensuring compliance with regulatory requirements</t>
  </si>
  <si>
    <t>Creating legal documents (legal opinions) for Anti-Dumping measures is to formally propose these measures to the KADI (Komite Anti-Dumping Indonesia)</t>
  </si>
  <si>
    <t>Extending work tool permits is to comply with safety and operational regulations</t>
  </si>
  <si>
    <t>Hampers to partners, clients, or stakeholders is to express goodwill and appreciation for their collaboration and support in various activities</t>
  </si>
  <si>
    <t>Mohon kirimkan Lembar kerja anggaran tahunan (master budget template) yang telah disetujui ke Budget&amp;Analysis Departemen paling lambat tanggal 05 September 2025.</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</si>
  <si>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</si>
  <si>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</si>
  <si>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</si>
  <si>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</si>
  <si>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</si>
  <si>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</si>
  <si>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</si>
  <si>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</si>
  <si>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</si>
  <si>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</si>
  <si>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</si>
  <si>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PROJECT MANAGEMENT</t>
  </si>
  <si>
    <t>CSR &amp; COMMUNITY DEVELOPMENT</t>
  </si>
  <si>
    <t>GOVERNMENT RELATIONS &amp; EXTERNAL ACTIVITIES</t>
  </si>
  <si>
    <t>GOVERNMENT PROJECT - CONSULTING SERVICES</t>
  </si>
  <si>
    <t>- Column 3</t>
  </si>
  <si>
    <t>CORPORATE LEGAL &amp; COMPLIANCE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</si>
</sst>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_(* #,##0.00_);_(* \(#,##0.00\);_(* &quot;-&quot;??_);_(@_)"/>
    <numFmt numFmtId="166" formatCode="_ * #,##0.00_ ;_ * \-#,##0.00_ ;_ * &quot;-&quot;??_ ;_ @_ "/>
    <numFmt numFmtId="167" formatCode="_(* #,##0_);_(* \(#,##0\);_(* &quot;-&quot;??_);_(@_)"/>
    <numFmt numFmtId="168" formatCode="[$-409]mmm\-yy;@"/>
  </numFmts>
  <fonts count="36" x14ac:knownFonts="1">
    <font>
      <sz val="11"/>
      <color theme="1"/>
      <name val="Calibri"/>
      <family val="2"/>
      <scheme val="minor"/>
    </font>
    <font>
      <sz val="11"/>
      <color theme="1"/>
      <name val="Calibri"/>
      <family val="2"/>
      <scheme val="minor"/>
    </font>
    <font>
      <sz val="11"/>
      <color theme="1"/>
      <name val="Arial"/>
      <family val="2"/>
    </font>
    <font>
      <u/>
      <sz val="11"/>
      <color theme="10"/>
      <name val="Arial"/>
      <family val="2"/>
    </font>
    <font>
      <b/>
      <sz val="11"/>
      <color theme="1"/>
      <name val="Calibri"/>
      <family val="2"/>
      <scheme val="minor"/>
    </font>
    <font>
      <b/>
      <sz val="9"/>
      <color indexed="81"/>
      <name val="Tahoma"/>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sz val="8"/>
      <name val="Calibri"/>
      <family val="2"/>
      <scheme val="minor"/>
    </font>
    <font>
      <b/>
      <sz val="24"/>
      <color theme="1"/>
      <name val="Aptos Narrow"/>
      <family val="2"/>
    </font>
    <font>
      <b/>
      <sz val="11"/>
      <color rgb="FFFF0000"/>
      <name val="Aptos Narrow"/>
      <family val="2"/>
    </font>
    <font>
      <b/>
      <sz val="11"/>
      <color rgb="FF000000"/>
      <name val="Aptos Narrow"/>
      <family val="2"/>
    </font>
    <font>
      <i/>
      <sz val="11"/>
      <color rgb="FF000000"/>
      <name val="Aptos Narrow"/>
      <family val="2"/>
    </font>
    <font>
      <sz val="9"/>
      <color rgb="FFFFFFFF"/>
      <name val="Aptos Narrow"/>
      <family val="2"/>
    </font>
    <font>
      <sz val="11"/>
      <color theme="0"/>
      <name val="Aptos Narrow"/>
      <family val="2"/>
    </font>
    <font>
      <sz val="11"/>
      <color rgb="FFFF0000"/>
      <name val="Aptos Narrow"/>
      <family val="2"/>
    </font>
    <font>
      <b/>
      <i/>
      <u/>
      <sz val="11"/>
      <color rgb="FF339966"/>
      <name val="Aptos Narrow"/>
      <family val="2"/>
    </font>
    <font>
      <b/>
      <sz val="14"/>
      <color theme="1"/>
      <name val="Aptos Narrow"/>
      <family val="2"/>
    </font>
    <font>
      <sz val="12"/>
      <color theme="1"/>
      <name val="Aptos Narrow"/>
      <family val="2"/>
    </font>
    <font>
      <b/>
      <i/>
      <u/>
      <sz val="11"/>
      <color rgb="FF339966"/>
      <name val="Calibri"/>
      <family val="2"/>
      <scheme val="minor"/>
    </font>
    <font>
      <sz val="12"/>
      <name val="Aptos Narrow"/>
      <family val="2"/>
    </font>
  </fonts>
  <fills count="23">
    <fill>
      <patternFill patternType="none"/>
    </fill>
    <fill>
      <patternFill patternType="gray125"/>
    </fill>
    <fill>
      <patternFill patternType="solid">
        <fgColor theme="2" tint="-0.249977111117893"/>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5"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87">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right style="medium">
        <color indexed="64"/>
      </right>
      <top style="thin">
        <color auto="1"/>
      </top>
      <bottom/>
      <diagonal/>
    </border>
    <border>
      <left/>
      <right style="hair">
        <color indexed="64"/>
      </right>
      <top/>
      <bottom/>
      <diagonal/>
    </border>
    <border>
      <left style="hair">
        <color auto="1"/>
      </left>
      <right style="hair">
        <color auto="1"/>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1">
    <xf numFmtId="0" fontId="0" fillId="0" borderId="0"/>
    <xf numFmtId="0" fontId="2" fillId="0" borderId="0"/>
    <xf numFmtId="0" fontId="3" fillId="0" borderId="0" applyNumberFormat="0" applyFill="0" applyBorder="0" applyAlignment="0" applyProtection="0"/>
    <xf numFmtId="0" fontId="2" fillId="0" borderId="0"/>
    <xf numFmtId="165" fontId="2"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2" fillId="0" borderId="0" applyFont="0" applyFill="0" applyBorder="0" applyAlignment="0" applyProtection="0"/>
    <xf numFmtId="165" fontId="1" fillId="0" borderId="0" applyFont="0" applyFill="0" applyBorder="0" applyAlignment="0" applyProtection="0"/>
    <xf numFmtId="0" fontId="6" fillId="0" borderId="0" applyNumberFormat="0" applyFill="0" applyBorder="0" applyAlignment="0" applyProtection="0"/>
  </cellStyleXfs>
  <cellXfs count="336">
    <xf numFmtId="0" fontId="0" fillId="0" borderId="0" xfId="0"/>
    <xf numFmtId="0" fontId="4" fillId="0" borderId="2" xfId="0" applyFont="1" applyBorder="1" applyAlignment="1">
      <alignment horizontal="left"/>
    </xf>
    <xf numFmtId="0" fontId="7" fillId="0" borderId="0" xfId="1" applyFont="1"/>
    <xf numFmtId="0" fontId="8" fillId="0" borderId="0" xfId="1" applyFont="1"/>
    <xf numFmtId="0" fontId="9" fillId="0" borderId="0" xfId="1" applyFont="1"/>
    <xf numFmtId="0" fontId="8" fillId="0" borderId="1" xfId="1" applyFont="1" applyBorder="1"/>
    <xf numFmtId="0" fontId="10" fillId="0" borderId="1" xfId="1" applyFont="1" applyBorder="1"/>
    <xf numFmtId="0" fontId="11" fillId="0" borderId="0" xfId="1" applyFont="1"/>
    <xf numFmtId="0" fontId="12" fillId="0" borderId="0" xfId="1" applyFont="1"/>
    <xf numFmtId="0" fontId="13" fillId="0" borderId="0" xfId="1" applyFont="1"/>
    <xf numFmtId="0" fontId="8" fillId="0" borderId="0" xfId="1" applyFont="1" applyAlignment="1">
      <alignment horizontal="right"/>
    </xf>
    <xf numFmtId="0" fontId="8" fillId="0" borderId="0" xfId="1" quotePrefix="1" applyFont="1"/>
    <xf numFmtId="0" fontId="19" fillId="15" borderId="2" xfId="1" applyFont="1" applyFill="1" applyBorder="1"/>
    <xf numFmtId="0" fontId="8" fillId="0" borderId="2" xfId="1" applyFont="1" applyBorder="1"/>
    <xf numFmtId="0" fontId="19" fillId="15" borderId="2" xfId="1" applyFont="1" applyFill="1" applyBorder="1" applyAlignment="1">
      <alignment vertical="top"/>
    </xf>
    <xf numFmtId="0" fontId="8" fillId="0" borderId="2" xfId="1" applyFont="1" applyBorder="1" applyAlignment="1">
      <alignment vertical="top" wrapText="1"/>
    </xf>
    <xf numFmtId="0" fontId="18" fillId="0" borderId="3" xfId="1" applyFont="1" applyBorder="1" applyAlignment="1">
      <alignment horizontal="left" vertical="top" wrapText="1"/>
    </xf>
    <xf numFmtId="0" fontId="19" fillId="15" borderId="2" xfId="1" applyFont="1" applyFill="1" applyBorder="1" applyAlignment="1">
      <alignment horizontal="center"/>
    </xf>
    <xf numFmtId="0" fontId="8" fillId="0" borderId="2" xfId="1" applyFont="1" applyBorder="1" applyAlignment="1">
      <alignment horizontal="left"/>
    </xf>
    <xf numFmtId="0" fontId="8" fillId="0" borderId="4" xfId="1" applyFont="1" applyBorder="1"/>
    <xf numFmtId="0" fontId="20" fillId="0" borderId="0" xfId="1" applyFont="1"/>
    <xf numFmtId="0" fontId="15" fillId="0" borderId="2" xfId="3" applyFont="1" applyBorder="1" applyAlignment="1">
      <alignment horizontal="left" vertical="top" wrapText="1"/>
    </xf>
    <xf numFmtId="0" fontId="8" fillId="0" borderId="2" xfId="3" applyFont="1" applyBorder="1" applyAlignment="1">
      <alignment horizontal="left" vertical="top" wrapText="1"/>
    </xf>
    <xf numFmtId="0" fontId="8" fillId="0" borderId="2" xfId="3" applyFont="1" applyBorder="1" applyAlignment="1">
      <alignment horizontal="left" wrapText="1"/>
    </xf>
    <xf numFmtId="0" fontId="15" fillId="0" borderId="4" xfId="3" applyFont="1" applyBorder="1" applyAlignment="1">
      <alignment horizontal="left" vertical="top" wrapText="1"/>
    </xf>
    <xf numFmtId="0" fontId="8" fillId="0" borderId="4" xfId="3" applyFont="1" applyBorder="1" applyAlignment="1">
      <alignment horizontal="left" wrapText="1"/>
    </xf>
    <xf numFmtId="0" fontId="15" fillId="0" borderId="21" xfId="3" applyFont="1" applyBorder="1" applyAlignment="1">
      <alignment horizontal="left" vertical="top" wrapText="1"/>
    </xf>
    <xf numFmtId="0" fontId="8" fillId="0" borderId="4" xfId="3" applyFont="1" applyBorder="1" applyAlignment="1">
      <alignment horizontal="left" vertical="top" wrapText="1"/>
    </xf>
    <xf numFmtId="0" fontId="15" fillId="0" borderId="16" xfId="3" applyFont="1" applyBorder="1" applyAlignment="1">
      <alignment horizontal="left" vertical="top" wrapText="1"/>
    </xf>
    <xf numFmtId="0" fontId="8" fillId="0" borderId="17" xfId="3" applyFont="1" applyBorder="1" applyAlignment="1">
      <alignment horizontal="left" vertical="top" wrapText="1"/>
    </xf>
    <xf numFmtId="0" fontId="15" fillId="0" borderId="17" xfId="3" applyFont="1" applyBorder="1" applyAlignment="1">
      <alignment horizontal="left" vertical="top" wrapText="1"/>
    </xf>
    <xf numFmtId="0" fontId="8" fillId="0" borderId="17" xfId="3" applyFont="1" applyBorder="1" applyAlignment="1">
      <alignment horizontal="left" wrapText="1"/>
    </xf>
    <xf numFmtId="0" fontId="15" fillId="14" borderId="2" xfId="3" quotePrefix="1" applyFont="1" applyFill="1" applyBorder="1" applyAlignment="1">
      <alignment horizontal="left" vertical="top" wrapText="1" indent="2"/>
    </xf>
    <xf numFmtId="0" fontId="8" fillId="14" borderId="2" xfId="3" applyFont="1" applyFill="1" applyBorder="1" applyAlignment="1">
      <alignment horizontal="left" wrapText="1"/>
    </xf>
    <xf numFmtId="0" fontId="15" fillId="0" borderId="2" xfId="5" applyNumberFormat="1" applyFont="1" applyFill="1" applyBorder="1" applyAlignment="1" applyProtection="1">
      <alignment horizontal="left" vertical="center"/>
    </xf>
    <xf numFmtId="0" fontId="8" fillId="0" borderId="2" xfId="5" applyNumberFormat="1" applyFont="1" applyFill="1" applyBorder="1" applyAlignment="1" applyProtection="1">
      <alignment horizontal="left"/>
    </xf>
    <xf numFmtId="0" fontId="15" fillId="0" borderId="2" xfId="5" applyNumberFormat="1" applyFont="1" applyFill="1" applyBorder="1" applyAlignment="1" applyProtection="1">
      <alignment horizontal="left" vertical="center" wrapText="1"/>
    </xf>
    <xf numFmtId="0" fontId="18" fillId="0" borderId="0" xfId="1" applyFont="1"/>
    <xf numFmtId="0" fontId="19" fillId="15" borderId="6" xfId="1" applyFont="1" applyFill="1" applyBorder="1" applyAlignment="1">
      <alignment horizontal="center"/>
    </xf>
    <xf numFmtId="0" fontId="19" fillId="15" borderId="5" xfId="1" applyFont="1" applyFill="1" applyBorder="1" applyAlignment="1">
      <alignment horizontal="center"/>
    </xf>
    <xf numFmtId="0" fontId="19" fillId="0" borderId="0" xfId="1" applyFont="1" applyAlignment="1">
      <alignment horizontal="center"/>
    </xf>
    <xf numFmtId="0" fontId="22" fillId="16" borderId="42" xfId="1" applyFont="1" applyFill="1" applyBorder="1" applyAlignment="1">
      <alignment horizontal="left" vertical="center"/>
    </xf>
    <xf numFmtId="0" fontId="16" fillId="16" borderId="43" xfId="1" applyFont="1" applyFill="1" applyBorder="1" applyAlignment="1">
      <alignment horizontal="left" vertical="center"/>
    </xf>
    <xf numFmtId="0" fontId="16" fillId="16" borderId="51" xfId="1" applyFont="1" applyFill="1" applyBorder="1" applyAlignment="1">
      <alignment horizontal="left" vertical="center"/>
    </xf>
    <xf numFmtId="0" fontId="16" fillId="0" borderId="0" xfId="1" applyFont="1" applyAlignment="1">
      <alignment horizontal="left" vertical="center"/>
    </xf>
    <xf numFmtId="0" fontId="8" fillId="0" borderId="7" xfId="1" applyFont="1" applyBorder="1" applyAlignment="1">
      <alignment horizontal="center" vertical="center"/>
    </xf>
    <xf numFmtId="0" fontId="8" fillId="0" borderId="8" xfId="1" applyFont="1" applyBorder="1" applyAlignment="1">
      <alignment vertical="center"/>
    </xf>
    <xf numFmtId="0" fontId="8" fillId="0" borderId="9" xfId="1" applyFont="1" applyBorder="1" applyAlignment="1">
      <alignment vertical="center" wrapText="1"/>
    </xf>
    <xf numFmtId="0" fontId="8" fillId="0" borderId="0" xfId="1" applyFont="1" applyAlignment="1">
      <alignment vertical="center"/>
    </xf>
    <xf numFmtId="0" fontId="8" fillId="0" borderId="10" xfId="1" applyFont="1" applyBorder="1" applyAlignment="1">
      <alignment horizontal="center" vertical="center"/>
    </xf>
    <xf numFmtId="0" fontId="8" fillId="0" borderId="11" xfId="1" applyFont="1" applyBorder="1" applyAlignment="1">
      <alignment vertical="center"/>
    </xf>
    <xf numFmtId="0" fontId="8" fillId="0" borderId="12" xfId="1" applyFont="1" applyBorder="1" applyAlignment="1">
      <alignment vertical="center" wrapText="1"/>
    </xf>
    <xf numFmtId="0" fontId="8" fillId="0" borderId="0" xfId="1" applyFont="1" applyAlignment="1">
      <alignment vertical="center" wrapText="1"/>
    </xf>
    <xf numFmtId="0" fontId="8" fillId="0" borderId="13" xfId="1" applyFont="1" applyBorder="1" applyAlignment="1">
      <alignment horizontal="center" vertical="center"/>
    </xf>
    <xf numFmtId="0" fontId="8" fillId="0" borderId="14" xfId="1" applyFont="1" applyBorder="1" applyAlignment="1">
      <alignment vertical="center"/>
    </xf>
    <xf numFmtId="0" fontId="8" fillId="0" borderId="15" xfId="1" applyFont="1" applyBorder="1" applyAlignment="1">
      <alignment vertical="center" wrapText="1"/>
    </xf>
    <xf numFmtId="0" fontId="22" fillId="16" borderId="6" xfId="1" applyFont="1" applyFill="1" applyBorder="1" applyAlignment="1">
      <alignment horizontal="left" vertical="center"/>
    </xf>
    <xf numFmtId="0" fontId="16" fillId="16" borderId="35" xfId="1" applyFont="1" applyFill="1" applyBorder="1" applyAlignment="1">
      <alignment horizontal="left" vertical="center"/>
    </xf>
    <xf numFmtId="0" fontId="16" fillId="16" borderId="5" xfId="1" applyFont="1" applyFill="1" applyBorder="1" applyAlignment="1">
      <alignment horizontal="left" vertical="center"/>
    </xf>
    <xf numFmtId="0" fontId="8" fillId="0" borderId="16" xfId="1" applyFont="1" applyBorder="1" applyAlignment="1">
      <alignment horizontal="center" vertical="center"/>
    </xf>
    <xf numFmtId="0" fontId="8" fillId="0" borderId="17" xfId="1" applyFont="1" applyBorder="1" applyAlignment="1">
      <alignment vertical="center"/>
    </xf>
    <xf numFmtId="0" fontId="8" fillId="0" borderId="18" xfId="1" applyFont="1" applyBorder="1" applyAlignment="1">
      <alignment vertical="center" wrapText="1"/>
    </xf>
    <xf numFmtId="0" fontId="19" fillId="15" borderId="2" xfId="3" applyFont="1" applyFill="1" applyBorder="1" applyAlignment="1">
      <alignment vertical="top" wrapText="1"/>
    </xf>
    <xf numFmtId="0" fontId="8" fillId="0" borderId="2" xfId="3" applyFont="1" applyBorder="1" applyAlignment="1" applyProtection="1">
      <alignment vertical="top" wrapText="1"/>
      <protection locked="0"/>
    </xf>
    <xf numFmtId="1" fontId="19" fillId="17" borderId="2" xfId="4" applyNumberFormat="1" applyFont="1" applyFill="1" applyBorder="1" applyAlignment="1" applyProtection="1">
      <alignment vertical="top" wrapText="1"/>
    </xf>
    <xf numFmtId="0" fontId="8" fillId="5" borderId="2" xfId="3" applyFont="1" applyFill="1" applyBorder="1" applyAlignment="1" applyProtection="1">
      <alignment vertical="top" wrapText="1"/>
      <protection locked="0"/>
    </xf>
    <xf numFmtId="0" fontId="19" fillId="15" borderId="2" xfId="5" applyNumberFormat="1" applyFont="1" applyFill="1" applyBorder="1" applyAlignment="1">
      <alignment vertical="top"/>
    </xf>
    <xf numFmtId="0" fontId="8" fillId="0" borderId="2" xfId="5" applyNumberFormat="1" applyFont="1" applyFill="1" applyBorder="1" applyAlignment="1" applyProtection="1">
      <alignment vertical="top" wrapText="1"/>
      <protection locked="0"/>
    </xf>
    <xf numFmtId="0" fontId="8" fillId="0" borderId="11" xfId="1" applyFont="1" applyBorder="1" applyAlignment="1">
      <alignment vertical="center" wrapText="1"/>
    </xf>
    <xf numFmtId="0" fontId="8" fillId="0" borderId="40" xfId="1" applyFont="1" applyBorder="1" applyAlignment="1">
      <alignment vertical="center"/>
    </xf>
    <xf numFmtId="0" fontId="8" fillId="0" borderId="41" xfId="1" applyFont="1" applyBorder="1" applyAlignment="1">
      <alignment vertical="center" wrapText="1"/>
    </xf>
    <xf numFmtId="0" fontId="8" fillId="0" borderId="17" xfId="1" applyFont="1" applyBorder="1" applyAlignment="1">
      <alignment horizontal="center" vertical="center"/>
    </xf>
    <xf numFmtId="0" fontId="15" fillId="0" borderId="0" xfId="1" applyFont="1"/>
    <xf numFmtId="0" fontId="19" fillId="15" borderId="35" xfId="1" applyFont="1" applyFill="1" applyBorder="1" applyAlignment="1">
      <alignment horizontal="center"/>
    </xf>
    <xf numFmtId="0" fontId="19" fillId="15" borderId="23" xfId="1" applyFont="1" applyFill="1" applyBorder="1" applyAlignment="1">
      <alignment horizontal="center"/>
    </xf>
    <xf numFmtId="0" fontId="4" fillId="0" borderId="0" xfId="0" applyFont="1" applyAlignment="1">
      <alignment horizontal="center" vertical="center"/>
    </xf>
    <xf numFmtId="0" fontId="8" fillId="0" borderId="65" xfId="1" applyFont="1" applyBorder="1" applyAlignment="1">
      <alignment vertical="center"/>
    </xf>
    <xf numFmtId="0" fontId="8" fillId="0" borderId="23" xfId="1" applyFont="1" applyBorder="1" applyAlignment="1">
      <alignment vertical="center"/>
    </xf>
    <xf numFmtId="0" fontId="8" fillId="0" borderId="66" xfId="1" applyFont="1" applyBorder="1" applyAlignment="1">
      <alignment vertical="center" wrapText="1"/>
    </xf>
    <xf numFmtId="0" fontId="8" fillId="0" borderId="67" xfId="1" applyFont="1" applyBorder="1" applyAlignment="1">
      <alignment vertical="center" wrapText="1"/>
    </xf>
    <xf numFmtId="0" fontId="18" fillId="16" borderId="0" xfId="0" applyFont="1" applyFill="1"/>
    <xf numFmtId="0" fontId="8" fillId="16" borderId="0" xfId="0" applyFont="1" applyFill="1"/>
    <xf numFmtId="0" fontId="8" fillId="16" borderId="0" xfId="0" applyFont="1" applyFill="1" applyAlignment="1">
      <alignment horizontal="center"/>
    </xf>
    <xf numFmtId="0" fontId="19" fillId="15" borderId="2" xfId="0" applyFont="1" applyFill="1" applyBorder="1" applyAlignment="1">
      <alignment horizontal="center"/>
    </xf>
    <xf numFmtId="0" fontId="8" fillId="0" borderId="0" xfId="0" applyFont="1"/>
    <xf numFmtId="0" fontId="8" fillId="0" borderId="0" xfId="0" applyFont="1" applyAlignment="1">
      <alignment horizontal="center"/>
    </xf>
    <xf numFmtId="0" fontId="8" fillId="0" borderId="2" xfId="0" applyFont="1" applyBorder="1"/>
    <xf numFmtId="0" fontId="18" fillId="16" borderId="0" xfId="0" applyFont="1" applyFill="1" applyAlignment="1">
      <alignment horizontal="center"/>
    </xf>
    <xf numFmtId="0" fontId="8" fillId="0" borderId="2" xfId="0" applyFont="1" applyBorder="1" applyAlignment="1">
      <alignment horizontal="center"/>
    </xf>
    <xf numFmtId="0" fontId="8" fillId="0" borderId="0" xfId="1" applyFont="1" applyAlignment="1">
      <alignment horizontal="center"/>
    </xf>
    <xf numFmtId="0" fontId="19" fillId="15" borderId="68" xfId="1" applyFont="1" applyFill="1" applyBorder="1" applyAlignment="1">
      <alignment horizontal="center" vertical="center"/>
    </xf>
    <xf numFmtId="0" fontId="8" fillId="0" borderId="40" xfId="1" applyFont="1" applyBorder="1" applyAlignment="1">
      <alignment vertical="center" wrapText="1"/>
    </xf>
    <xf numFmtId="0" fontId="8" fillId="0" borderId="40" xfId="0" applyFont="1" applyBorder="1" applyAlignment="1">
      <alignment horizontal="center" vertical="center"/>
    </xf>
    <xf numFmtId="0" fontId="8" fillId="0" borderId="69" xfId="1" applyFont="1" applyBorder="1" applyAlignment="1">
      <alignment vertical="center"/>
    </xf>
    <xf numFmtId="0" fontId="8" fillId="0" borderId="69" xfId="1" applyFont="1" applyBorder="1" applyAlignment="1">
      <alignment vertical="center" wrapText="1"/>
    </xf>
    <xf numFmtId="0" fontId="8" fillId="0" borderId="69" xfId="0" applyFont="1" applyBorder="1" applyAlignment="1">
      <alignment horizontal="center" vertical="center"/>
    </xf>
    <xf numFmtId="0" fontId="18" fillId="0" borderId="0" xfId="0" applyFont="1"/>
    <xf numFmtId="0" fontId="18" fillId="0" borderId="0" xfId="0" applyFont="1" applyAlignment="1">
      <alignment horizontal="center" wrapText="1"/>
    </xf>
    <xf numFmtId="16" fontId="8" fillId="0" borderId="0" xfId="0" quotePrefix="1" applyNumberFormat="1" applyFont="1"/>
    <xf numFmtId="0" fontId="24" fillId="0" borderId="0" xfId="1" applyFont="1"/>
    <xf numFmtId="0" fontId="18" fillId="0" borderId="20" xfId="1" applyFont="1" applyBorder="1" applyAlignment="1" applyProtection="1">
      <alignment horizontal="left"/>
      <protection locked="0"/>
    </xf>
    <xf numFmtId="0" fontId="25" fillId="0" borderId="0" xfId="0" applyFont="1"/>
    <xf numFmtId="0" fontId="8" fillId="0" borderId="0" xfId="1" applyFont="1" applyProtection="1">
      <protection locked="0"/>
    </xf>
    <xf numFmtId="0" fontId="8" fillId="0" borderId="0" xfId="1" applyFont="1" applyProtection="1">
      <protection locked="0" hidden="1"/>
    </xf>
    <xf numFmtId="0" fontId="17" fillId="0" borderId="0" xfId="1" applyFont="1" applyAlignment="1" applyProtection="1">
      <alignment vertical="center"/>
      <protection locked="0"/>
    </xf>
    <xf numFmtId="0" fontId="17" fillId="0" borderId="0" xfId="1" applyFont="1" applyAlignment="1" applyProtection="1">
      <alignment vertical="center" wrapText="1"/>
      <protection locked="0"/>
    </xf>
    <xf numFmtId="0" fontId="13" fillId="0" borderId="51" xfId="1" applyFont="1" applyBorder="1" applyAlignment="1" applyProtection="1">
      <alignment horizontal="center" vertical="center" wrapText="1"/>
      <protection locked="0" hidden="1"/>
    </xf>
    <xf numFmtId="0" fontId="8" fillId="0" borderId="53" xfId="1" applyFont="1" applyBorder="1" applyProtection="1">
      <protection locked="0" hidden="1"/>
    </xf>
    <xf numFmtId="0" fontId="8" fillId="0" borderId="54" xfId="1" applyFont="1" applyBorder="1" applyProtection="1">
      <protection locked="0" hidden="1"/>
    </xf>
    <xf numFmtId="0" fontId="8" fillId="0" borderId="55" xfId="1" applyFont="1" applyBorder="1" applyProtection="1">
      <protection locked="0" hidden="1"/>
    </xf>
    <xf numFmtId="0" fontId="8" fillId="0" borderId="56" xfId="1" applyFont="1" applyBorder="1" applyProtection="1">
      <protection locked="0" hidden="1"/>
    </xf>
    <xf numFmtId="0" fontId="8" fillId="0" borderId="57" xfId="1" applyFont="1" applyBorder="1" applyProtection="1">
      <protection locked="0" hidden="1"/>
    </xf>
    <xf numFmtId="0" fontId="8" fillId="0" borderId="25" xfId="1" applyFont="1" applyBorder="1" applyProtection="1">
      <protection locked="0" hidden="1"/>
    </xf>
    <xf numFmtId="0" fontId="8" fillId="0" borderId="23" xfId="1" applyFont="1" applyBorder="1" applyProtection="1">
      <protection locked="0" hidden="1"/>
    </xf>
    <xf numFmtId="0" fontId="8" fillId="0" borderId="24" xfId="1" applyFont="1" applyBorder="1" applyProtection="1">
      <protection locked="0" hidden="1"/>
    </xf>
    <xf numFmtId="0" fontId="8" fillId="0" borderId="26" xfId="1" applyFont="1" applyBorder="1" applyProtection="1">
      <protection locked="0" hidden="1"/>
    </xf>
    <xf numFmtId="0" fontId="27" fillId="0" borderId="60" xfId="1" applyFont="1" applyBorder="1" applyAlignment="1" applyProtection="1">
      <alignment horizontal="center"/>
      <protection locked="0" hidden="1"/>
    </xf>
    <xf numFmtId="0" fontId="8" fillId="0" borderId="0" xfId="0" applyFont="1" applyProtection="1">
      <protection locked="0"/>
    </xf>
    <xf numFmtId="0" fontId="28" fillId="0" borderId="0" xfId="0" applyFont="1" applyAlignment="1">
      <alignment vertical="center"/>
    </xf>
    <xf numFmtId="0" fontId="8" fillId="0" borderId="0" xfId="1" applyFont="1" applyAlignment="1">
      <alignment horizontal="center" wrapText="1"/>
    </xf>
    <xf numFmtId="0" fontId="8" fillId="0" borderId="0" xfId="1" applyFont="1" applyAlignment="1">
      <alignment horizontal="left" wrapText="1"/>
    </xf>
    <xf numFmtId="0" fontId="8" fillId="0" borderId="0" xfId="1" applyFont="1" applyAlignment="1" applyProtection="1">
      <alignment horizontal="left" wrapText="1"/>
      <protection locked="0"/>
    </xf>
    <xf numFmtId="0" fontId="8" fillId="0" borderId="0" xfId="1" applyFont="1" applyAlignment="1">
      <alignment wrapText="1"/>
    </xf>
    <xf numFmtId="167" fontId="8" fillId="0" borderId="0" xfId="4" applyNumberFormat="1" applyFont="1" applyAlignment="1">
      <alignment wrapText="1"/>
    </xf>
    <xf numFmtId="0" fontId="8" fillId="4" borderId="0" xfId="1" applyFont="1" applyFill="1" applyAlignment="1">
      <alignment wrapText="1"/>
    </xf>
    <xf numFmtId="167" fontId="18" fillId="0" borderId="0" xfId="4" applyNumberFormat="1" applyFont="1" applyAlignment="1"/>
    <xf numFmtId="167" fontId="8" fillId="4" borderId="0" xfId="4" applyNumberFormat="1" applyFont="1" applyFill="1" applyAlignment="1">
      <alignment wrapText="1"/>
    </xf>
    <xf numFmtId="0" fontId="8" fillId="0" borderId="0" xfId="1" applyFont="1" applyAlignment="1">
      <alignment horizontal="left" vertical="top" wrapText="1"/>
    </xf>
    <xf numFmtId="0" fontId="8" fillId="0" borderId="0" xfId="1" applyFont="1" applyAlignment="1" applyProtection="1">
      <alignment horizontal="left" vertical="top" wrapText="1"/>
      <protection locked="0"/>
    </xf>
    <xf numFmtId="0" fontId="25" fillId="0" borderId="0" xfId="1" applyFont="1" applyAlignment="1">
      <alignment horizontal="left" vertical="top" wrapText="1"/>
    </xf>
    <xf numFmtId="167" fontId="25" fillId="0" borderId="0" xfId="9" applyNumberFormat="1" applyFont="1" applyAlignment="1">
      <alignment wrapText="1"/>
    </xf>
    <xf numFmtId="0" fontId="8" fillId="3" borderId="28" xfId="3" applyFont="1" applyFill="1" applyBorder="1" applyAlignment="1" applyProtection="1">
      <alignment horizontal="center" vertical="center" wrapText="1"/>
      <protection hidden="1"/>
    </xf>
    <xf numFmtId="0" fontId="8" fillId="3" borderId="27" xfId="3" quotePrefix="1" applyFont="1" applyFill="1" applyBorder="1" applyAlignment="1" applyProtection="1">
      <alignment horizontal="left" vertical="center"/>
      <protection hidden="1"/>
    </xf>
    <xf numFmtId="165" fontId="8" fillId="3" borderId="28" xfId="9" applyFont="1" applyFill="1" applyBorder="1" applyAlignment="1" applyProtection="1">
      <alignment horizontal="left" vertical="center" wrapText="1"/>
      <protection hidden="1"/>
    </xf>
    <xf numFmtId="0" fontId="8" fillId="0" borderId="28" xfId="3" applyFont="1" applyBorder="1" applyAlignment="1" applyProtection="1">
      <alignment horizontal="left" vertical="center" wrapText="1"/>
      <protection locked="0"/>
    </xf>
    <xf numFmtId="0" fontId="8" fillId="0" borderId="28" xfId="3" applyFont="1" applyBorder="1" applyAlignment="1" applyProtection="1">
      <alignment horizontal="center" vertical="center" wrapText="1"/>
      <protection locked="0"/>
    </xf>
    <xf numFmtId="0" fontId="8" fillId="3" borderId="28" xfId="9" applyNumberFormat="1" applyFont="1" applyFill="1" applyBorder="1" applyAlignment="1" applyProtection="1">
      <alignment horizontal="left" vertical="center" wrapText="1"/>
      <protection hidden="1"/>
    </xf>
    <xf numFmtId="165" fontId="8" fillId="3" borderId="39" xfId="9" applyFont="1" applyFill="1" applyBorder="1" applyAlignment="1" applyProtection="1">
      <alignment horizontal="left" vertical="center" wrapText="1"/>
      <protection hidden="1"/>
    </xf>
    <xf numFmtId="0" fontId="8" fillId="3" borderId="39" xfId="9" applyNumberFormat="1" applyFont="1" applyFill="1" applyBorder="1" applyAlignment="1" applyProtection="1">
      <alignment horizontal="center" vertical="center" wrapText="1"/>
      <protection hidden="1"/>
    </xf>
    <xf numFmtId="0" fontId="8" fillId="0" borderId="39" xfId="3" quotePrefix="1" applyFont="1" applyBorder="1" applyAlignment="1" applyProtection="1">
      <alignment horizontal="center" vertical="center" wrapText="1"/>
      <protection locked="0"/>
    </xf>
    <xf numFmtId="0" fontId="18" fillId="3" borderId="0" xfId="0" quotePrefix="1" applyFont="1" applyFill="1" applyAlignment="1">
      <alignment horizontal="center" vertical="center"/>
    </xf>
    <xf numFmtId="0" fontId="8" fillId="0" borderId="29" xfId="3" applyFont="1" applyBorder="1" applyAlignment="1" applyProtection="1">
      <alignment horizontal="left" vertical="center" wrapText="1"/>
      <protection locked="0"/>
    </xf>
    <xf numFmtId="167" fontId="8" fillId="0" borderId="28" xfId="4" applyNumberFormat="1" applyFont="1" applyFill="1" applyBorder="1" applyAlignment="1" applyProtection="1">
      <alignment horizontal="left" vertical="center" wrapText="1"/>
      <protection locked="0"/>
    </xf>
    <xf numFmtId="167" fontId="13" fillId="2" borderId="38" xfId="4" applyNumberFormat="1" applyFont="1" applyFill="1" applyBorder="1" applyAlignment="1" applyProtection="1">
      <alignment horizontal="left" vertical="center" wrapText="1"/>
      <protection hidden="1"/>
    </xf>
    <xf numFmtId="167" fontId="13" fillId="4" borderId="0" xfId="4" applyNumberFormat="1" applyFont="1" applyFill="1" applyBorder="1" applyAlignment="1" applyProtection="1">
      <alignment horizontal="left" vertical="center" wrapText="1"/>
      <protection hidden="1"/>
    </xf>
    <xf numFmtId="167" fontId="8" fillId="0" borderId="0" xfId="4" applyNumberFormat="1" applyFont="1" applyFill="1" applyAlignment="1">
      <alignment horizontal="left" vertical="center" wrapText="1"/>
    </xf>
    <xf numFmtId="167" fontId="8" fillId="0" borderId="28" xfId="5" quotePrefix="1" applyNumberFormat="1" applyFont="1" applyFill="1" applyBorder="1" applyAlignment="1" applyProtection="1">
      <alignment horizontal="left" vertical="center" wrapText="1"/>
      <protection locked="0"/>
    </xf>
    <xf numFmtId="167" fontId="8" fillId="5" borderId="28" xfId="5" quotePrefix="1" applyNumberFormat="1" applyFont="1" applyFill="1" applyBorder="1" applyAlignment="1" applyProtection="1">
      <alignment horizontal="left" vertical="center" wrapText="1"/>
      <protection hidden="1"/>
    </xf>
    <xf numFmtId="168" fontId="8" fillId="0" borderId="28" xfId="5" quotePrefix="1" applyNumberFormat="1" applyFont="1" applyFill="1" applyBorder="1" applyAlignment="1" applyProtection="1">
      <alignment horizontal="left" vertical="center" wrapText="1"/>
      <protection locked="0"/>
    </xf>
    <xf numFmtId="167" fontId="8" fillId="0" borderId="28" xfId="5" applyNumberFormat="1" applyFont="1" applyFill="1" applyBorder="1" applyAlignment="1" applyProtection="1">
      <alignment horizontal="left" vertical="center" wrapText="1"/>
      <protection locked="0"/>
    </xf>
    <xf numFmtId="0" fontId="8" fillId="0" borderId="0" xfId="1" applyFont="1" applyAlignment="1">
      <alignment horizontal="left" vertical="center" wrapText="1"/>
    </xf>
    <xf numFmtId="0" fontId="8" fillId="15" borderId="75" xfId="1" applyFont="1" applyFill="1" applyBorder="1" applyAlignment="1">
      <alignment horizontal="center" wrapText="1"/>
    </xf>
    <xf numFmtId="0" fontId="8" fillId="15" borderId="76" xfId="1" applyFont="1" applyFill="1" applyBorder="1" applyAlignment="1">
      <alignment horizontal="center" wrapText="1"/>
    </xf>
    <xf numFmtId="0" fontId="8" fillId="15" borderId="76" xfId="1" applyFont="1" applyFill="1" applyBorder="1" applyAlignment="1">
      <alignment horizontal="left" wrapText="1"/>
    </xf>
    <xf numFmtId="0" fontId="8" fillId="15" borderId="77" xfId="1" applyFont="1" applyFill="1" applyBorder="1" applyAlignment="1">
      <alignment horizontal="left" wrapText="1"/>
    </xf>
    <xf numFmtId="0" fontId="8" fillId="15" borderId="75" xfId="1" applyFont="1" applyFill="1" applyBorder="1" applyAlignment="1">
      <alignment horizontal="left" wrapText="1"/>
    </xf>
    <xf numFmtId="0" fontId="8" fillId="15" borderId="76" xfId="1" applyFont="1" applyFill="1" applyBorder="1" applyAlignment="1" applyProtection="1">
      <alignment horizontal="left" wrapText="1"/>
      <protection locked="0"/>
    </xf>
    <xf numFmtId="0" fontId="8" fillId="15" borderId="76" xfId="1" applyFont="1" applyFill="1" applyBorder="1" applyAlignment="1">
      <alignment wrapText="1"/>
    </xf>
    <xf numFmtId="167" fontId="19" fillId="15" borderId="27" xfId="4" applyNumberFormat="1" applyFont="1" applyFill="1" applyBorder="1" applyAlignment="1">
      <alignment horizontal="centerContinuous"/>
    </xf>
    <xf numFmtId="167" fontId="29" fillId="15" borderId="27" xfId="4" applyNumberFormat="1" applyFont="1" applyFill="1" applyBorder="1" applyAlignment="1">
      <alignment horizontal="centerContinuous" wrapText="1"/>
    </xf>
    <xf numFmtId="167" fontId="8" fillId="4" borderId="27" xfId="4" applyNumberFormat="1" applyFont="1" applyFill="1" applyBorder="1" applyAlignment="1">
      <alignment wrapText="1"/>
    </xf>
    <xf numFmtId="167" fontId="29" fillId="15" borderId="78" xfId="4" applyNumberFormat="1" applyFont="1" applyFill="1" applyBorder="1" applyAlignment="1">
      <alignment horizontal="centerContinuous" wrapText="1"/>
    </xf>
    <xf numFmtId="0" fontId="19" fillId="15" borderId="79" xfId="0" applyFont="1" applyFill="1" applyBorder="1" applyAlignment="1">
      <alignment horizontal="center" vertical="center" wrapText="1"/>
    </xf>
    <xf numFmtId="0" fontId="19" fillId="15" borderId="27" xfId="0" applyFont="1" applyFill="1" applyBorder="1" applyAlignment="1">
      <alignment horizontal="center" vertical="center" wrapText="1"/>
    </xf>
    <xf numFmtId="0" fontId="19" fillId="15" borderId="27" xfId="0" applyFont="1" applyFill="1" applyBorder="1" applyAlignment="1" applyProtection="1">
      <alignment horizontal="center" vertical="center" wrapText="1"/>
      <protection locked="0"/>
    </xf>
    <xf numFmtId="0" fontId="19" fillId="15" borderId="28" xfId="0" applyFont="1" applyFill="1" applyBorder="1" applyAlignment="1">
      <alignment horizontal="center" vertical="center" wrapText="1"/>
    </xf>
    <xf numFmtId="167" fontId="8" fillId="4" borderId="28" xfId="4" applyNumberFormat="1" applyFont="1" applyFill="1" applyBorder="1" applyAlignment="1">
      <alignment horizontal="center" vertical="center" wrapText="1"/>
    </xf>
    <xf numFmtId="0" fontId="15" fillId="8" borderId="63" xfId="5" applyNumberFormat="1" applyFont="1" applyFill="1" applyBorder="1" applyAlignment="1">
      <alignment horizontal="center" vertical="center" wrapText="1"/>
    </xf>
    <xf numFmtId="0" fontId="15" fillId="8" borderId="0" xfId="5" applyNumberFormat="1" applyFont="1" applyFill="1" applyBorder="1" applyAlignment="1">
      <alignment horizontal="center" vertical="center" wrapText="1"/>
    </xf>
    <xf numFmtId="0" fontId="15" fillId="8" borderId="63" xfId="5" applyNumberFormat="1" applyFont="1" applyFill="1" applyBorder="1" applyAlignment="1" applyProtection="1">
      <alignment horizontal="center" vertical="center" wrapText="1"/>
      <protection locked="0"/>
    </xf>
    <xf numFmtId="0" fontId="8" fillId="0" borderId="0" xfId="1" applyFont="1" applyAlignment="1">
      <alignment horizontal="center" vertical="center" wrapText="1"/>
    </xf>
    <xf numFmtId="0" fontId="8" fillId="0" borderId="0" xfId="0" applyFont="1" applyAlignment="1">
      <alignment wrapText="1"/>
    </xf>
    <xf numFmtId="167" fontId="8" fillId="0" borderId="0" xfId="9" applyNumberFormat="1" applyFont="1"/>
    <xf numFmtId="0" fontId="25" fillId="0" borderId="0" xfId="1" applyFont="1" applyAlignment="1">
      <alignment wrapText="1"/>
    </xf>
    <xf numFmtId="0" fontId="8" fillId="0" borderId="0" xfId="0" applyFont="1" applyProtection="1">
      <protection hidden="1"/>
    </xf>
    <xf numFmtId="0" fontId="30" fillId="0" borderId="0" xfId="1" applyFont="1" applyAlignment="1">
      <alignment horizontal="center" vertical="center" wrapText="1"/>
    </xf>
    <xf numFmtId="0" fontId="15" fillId="8" borderId="24" xfId="5" applyNumberFormat="1" applyFont="1" applyFill="1" applyBorder="1" applyAlignment="1">
      <alignment horizontal="center" vertical="center" wrapText="1"/>
    </xf>
    <xf numFmtId="0" fontId="18" fillId="0" borderId="0" xfId="1" applyFont="1" applyAlignment="1" applyProtection="1">
      <alignment horizontal="center" vertical="center" wrapText="1"/>
      <protection hidden="1"/>
    </xf>
    <xf numFmtId="0" fontId="8" fillId="3" borderId="27" xfId="3" applyFont="1" applyFill="1" applyBorder="1" applyAlignment="1" applyProtection="1">
      <alignment horizontal="left"/>
      <protection hidden="1"/>
    </xf>
    <xf numFmtId="165" fontId="8" fillId="3" borderId="28" xfId="4" applyFont="1" applyFill="1" applyBorder="1" applyAlignment="1" applyProtection="1">
      <alignment vertical="center"/>
      <protection hidden="1"/>
    </xf>
    <xf numFmtId="165" fontId="8" fillId="0" borderId="28" xfId="4" applyFont="1" applyFill="1" applyBorder="1" applyAlignment="1" applyProtection="1">
      <alignment vertical="center"/>
      <protection locked="0" hidden="1"/>
    </xf>
    <xf numFmtId="165" fontId="8" fillId="3" borderId="28" xfId="4" applyFont="1" applyFill="1" applyBorder="1" applyAlignment="1" applyProtection="1">
      <alignment horizontal="left" vertical="center"/>
      <protection hidden="1"/>
    </xf>
    <xf numFmtId="0" fontId="8" fillId="3" borderId="28" xfId="4" applyNumberFormat="1" applyFont="1" applyFill="1" applyBorder="1" applyAlignment="1" applyProtection="1">
      <alignment horizontal="left" vertical="center"/>
      <protection hidden="1"/>
    </xf>
    <xf numFmtId="164" fontId="8" fillId="3" borderId="28" xfId="7" applyFont="1" applyFill="1" applyBorder="1" applyAlignment="1" applyProtection="1">
      <alignment vertical="center"/>
      <protection hidden="1"/>
    </xf>
    <xf numFmtId="164" fontId="8" fillId="0" borderId="28" xfId="7" applyFont="1" applyFill="1" applyBorder="1" applyAlignment="1" applyProtection="1">
      <alignment vertical="center"/>
      <protection locked="0"/>
    </xf>
    <xf numFmtId="164" fontId="8" fillId="3" borderId="27" xfId="7" applyFont="1" applyFill="1" applyBorder="1" applyAlignment="1" applyProtection="1">
      <protection hidden="1"/>
    </xf>
    <xf numFmtId="167" fontId="8" fillId="4" borderId="28" xfId="5" applyNumberFormat="1" applyFont="1" applyFill="1" applyBorder="1" applyAlignment="1" applyProtection="1">
      <alignment horizontal="left" vertical="center" wrapText="1"/>
      <protection locked="0"/>
    </xf>
    <xf numFmtId="167" fontId="13" fillId="3" borderId="38" xfId="4" applyNumberFormat="1" applyFont="1" applyFill="1" applyBorder="1" applyAlignment="1" applyProtection="1">
      <alignment horizontal="left" vertical="center" wrapText="1"/>
      <protection hidden="1"/>
    </xf>
    <xf numFmtId="167" fontId="13" fillId="4" borderId="29" xfId="4" applyNumberFormat="1" applyFont="1" applyFill="1" applyBorder="1" applyAlignment="1" applyProtection="1">
      <alignment horizontal="left" vertical="center" wrapText="1"/>
      <protection hidden="1"/>
    </xf>
    <xf numFmtId="164" fontId="8" fillId="5" borderId="64" xfId="7" applyFont="1" applyFill="1" applyBorder="1" applyAlignment="1" applyProtection="1">
      <protection hidden="1"/>
    </xf>
    <xf numFmtId="164" fontId="8" fillId="0" borderId="28" xfId="7" applyFont="1" applyFill="1" applyBorder="1" applyAlignment="1" applyProtection="1">
      <protection hidden="1"/>
    </xf>
    <xf numFmtId="167" fontId="30" fillId="0" borderId="0" xfId="9" applyNumberFormat="1" applyFont="1" applyFill="1" applyAlignment="1">
      <alignment vertical="center"/>
    </xf>
    <xf numFmtId="164" fontId="8" fillId="5" borderId="27" xfId="7" applyFont="1" applyFill="1" applyBorder="1" applyAlignment="1" applyProtection="1">
      <protection hidden="1"/>
    </xf>
    <xf numFmtId="0" fontId="8" fillId="0" borderId="29" xfId="3" applyFont="1" applyBorder="1" applyAlignment="1" applyProtection="1">
      <alignment horizontal="left"/>
      <protection locked="0"/>
    </xf>
    <xf numFmtId="167" fontId="8" fillId="0" borderId="28" xfId="5" applyNumberFormat="1" applyFont="1" applyFill="1" applyBorder="1" applyAlignment="1" applyProtection="1">
      <alignment wrapText="1"/>
      <protection locked="0"/>
    </xf>
    <xf numFmtId="167" fontId="8" fillId="0" borderId="29" xfId="5" quotePrefix="1" applyNumberFormat="1" applyFont="1" applyFill="1" applyBorder="1" applyAlignment="1" applyProtection="1">
      <alignment horizontal="left" vertical="center" wrapText="1"/>
      <protection locked="0"/>
    </xf>
    <xf numFmtId="0" fontId="8" fillId="0" borderId="29" xfId="3" applyFont="1" applyBorder="1" applyAlignment="1" applyProtection="1">
      <alignment horizontal="center"/>
      <protection locked="0"/>
    </xf>
    <xf numFmtId="167" fontId="8" fillId="0" borderId="28" xfId="5" applyNumberFormat="1" applyFont="1" applyFill="1" applyBorder="1" applyAlignment="1" applyProtection="1">
      <protection locked="0"/>
    </xf>
    <xf numFmtId="167" fontId="8" fillId="0" borderId="28" xfId="9" applyNumberFormat="1" applyFont="1" applyFill="1" applyBorder="1" applyAlignment="1" applyProtection="1">
      <protection locked="0"/>
    </xf>
    <xf numFmtId="167" fontId="8" fillId="5" borderId="29" xfId="5" quotePrefix="1" applyNumberFormat="1" applyFont="1" applyFill="1" applyBorder="1" applyAlignment="1" applyProtection="1">
      <alignment horizontal="left" vertical="center" wrapText="1"/>
      <protection hidden="1"/>
    </xf>
    <xf numFmtId="0" fontId="8" fillId="0" borderId="38" xfId="3" applyFont="1" applyBorder="1" applyAlignment="1" applyProtection="1">
      <alignment horizontal="left"/>
      <protection locked="0"/>
    </xf>
    <xf numFmtId="0" fontId="13" fillId="0" borderId="0" xfId="1" applyFont="1" applyAlignment="1" applyProtection="1">
      <alignment vertical="center"/>
      <protection hidden="1"/>
    </xf>
    <xf numFmtId="0" fontId="8" fillId="16" borderId="27" xfId="3" applyFont="1" applyFill="1" applyBorder="1" applyAlignment="1" applyProtection="1">
      <alignment horizontal="left"/>
      <protection hidden="1"/>
    </xf>
    <xf numFmtId="164" fontId="8" fillId="3" borderId="39" xfId="7" applyFont="1" applyFill="1" applyBorder="1" applyAlignment="1" applyProtection="1">
      <alignment vertical="center"/>
      <protection hidden="1"/>
    </xf>
    <xf numFmtId="0" fontId="30" fillId="0" borderId="0" xfId="0" applyFont="1"/>
    <xf numFmtId="0" fontId="19" fillId="12" borderId="17" xfId="0" applyFont="1" applyFill="1" applyBorder="1" applyAlignment="1">
      <alignment horizontal="center" vertical="center" wrapText="1"/>
    </xf>
    <xf numFmtId="0" fontId="29" fillId="0" borderId="0" xfId="0" applyFont="1"/>
    <xf numFmtId="0" fontId="29" fillId="0" borderId="0" xfId="0" applyFont="1" applyAlignment="1">
      <alignment horizontal="center"/>
    </xf>
    <xf numFmtId="0" fontId="8" fillId="0" borderId="0" xfId="0" applyFont="1" applyAlignment="1">
      <alignment vertical="center"/>
    </xf>
    <xf numFmtId="0" fontId="18" fillId="9" borderId="6" xfId="0" applyFont="1" applyFill="1" applyBorder="1" applyAlignment="1">
      <alignment horizontal="center" vertical="center"/>
    </xf>
    <xf numFmtId="0" fontId="18" fillId="9" borderId="35" xfId="0" applyFont="1" applyFill="1" applyBorder="1" applyAlignment="1">
      <alignment horizontal="center" vertical="center"/>
    </xf>
    <xf numFmtId="0" fontId="18" fillId="9" borderId="45" xfId="0" applyFont="1" applyFill="1" applyBorder="1" applyAlignment="1">
      <alignment horizontal="center" vertical="center"/>
    </xf>
    <xf numFmtId="0" fontId="15" fillId="0" borderId="0" xfId="0" applyFont="1"/>
    <xf numFmtId="0" fontId="30" fillId="0" borderId="0" xfId="0" applyFont="1" applyAlignment="1">
      <alignment vertical="center"/>
    </xf>
    <xf numFmtId="0" fontId="8" fillId="3" borderId="31" xfId="0" applyFont="1" applyFill="1" applyBorder="1" applyAlignment="1">
      <alignment vertical="center"/>
    </xf>
    <xf numFmtId="0" fontId="8" fillId="3" borderId="0" xfId="0" applyFont="1" applyFill="1" applyAlignment="1">
      <alignment vertical="center"/>
    </xf>
    <xf numFmtId="0" fontId="8" fillId="3" borderId="0" xfId="0" applyFont="1" applyFill="1" applyAlignment="1">
      <alignment horizontal="left" vertical="center"/>
    </xf>
    <xf numFmtId="0" fontId="8" fillId="3" borderId="32" xfId="0" applyFont="1" applyFill="1" applyBorder="1" applyAlignment="1">
      <alignment horizontal="left" vertical="center"/>
    </xf>
    <xf numFmtId="0" fontId="13" fillId="0" borderId="0" xfId="0" applyFont="1" applyAlignment="1">
      <alignment vertical="center"/>
    </xf>
    <xf numFmtId="0" fontId="8" fillId="3" borderId="32" xfId="0" applyFont="1" applyFill="1" applyBorder="1" applyAlignment="1">
      <alignment horizontal="left" vertical="center" wrapText="1"/>
    </xf>
    <xf numFmtId="0" fontId="8" fillId="3" borderId="32" xfId="0" applyFont="1" applyFill="1" applyBorder="1" applyAlignment="1">
      <alignment vertical="center"/>
    </xf>
    <xf numFmtId="0" fontId="8" fillId="3" borderId="32" xfId="0" applyFont="1" applyFill="1" applyBorder="1" applyAlignment="1">
      <alignment horizontal="center" vertical="center"/>
    </xf>
    <xf numFmtId="0" fontId="8" fillId="3" borderId="31" xfId="0" applyFont="1" applyFill="1" applyBorder="1"/>
    <xf numFmtId="0" fontId="8" fillId="3" borderId="0" xfId="0" applyFont="1" applyFill="1"/>
    <xf numFmtId="0" fontId="8" fillId="3" borderId="0" xfId="0" applyFont="1" applyFill="1" applyAlignment="1">
      <alignment vertical="top"/>
    </xf>
    <xf numFmtId="0" fontId="8" fillId="3" borderId="32" xfId="0" applyFont="1" applyFill="1" applyBorder="1" applyAlignment="1">
      <alignment horizontal="center"/>
    </xf>
    <xf numFmtId="0" fontId="8" fillId="3" borderId="33" xfId="0" applyFont="1" applyFill="1" applyBorder="1"/>
    <xf numFmtId="0" fontId="8" fillId="3" borderId="1" xfId="0" applyFont="1" applyFill="1" applyBorder="1"/>
    <xf numFmtId="0" fontId="8" fillId="3" borderId="34" xfId="0" applyFont="1" applyFill="1" applyBorder="1" applyAlignment="1">
      <alignment horizontal="center"/>
    </xf>
    <xf numFmtId="0" fontId="18" fillId="9" borderId="73" xfId="0" applyFont="1" applyFill="1" applyBorder="1" applyAlignment="1">
      <alignment horizontal="center" vertical="top"/>
    </xf>
    <xf numFmtId="0" fontId="18" fillId="9" borderId="2" xfId="0" applyFont="1" applyFill="1" applyBorder="1" applyAlignment="1">
      <alignment horizontal="center" vertical="top"/>
    </xf>
    <xf numFmtId="0" fontId="18" fillId="9" borderId="6" xfId="0" applyFont="1" applyFill="1" applyBorder="1" applyAlignment="1">
      <alignment horizontal="center" vertical="top"/>
    </xf>
    <xf numFmtId="0" fontId="18" fillId="9" borderId="45" xfId="0" applyFont="1" applyFill="1" applyBorder="1" applyAlignment="1">
      <alignment horizontal="center" vertical="top"/>
    </xf>
    <xf numFmtId="0" fontId="8" fillId="0" borderId="31" xfId="0" applyFont="1" applyBorder="1" applyProtection="1">
      <protection locked="0"/>
    </xf>
    <xf numFmtId="0" fontId="8" fillId="0" borderId="19" xfId="0" applyFont="1" applyBorder="1" applyProtection="1">
      <protection locked="0"/>
    </xf>
    <xf numFmtId="0" fontId="8" fillId="6" borderId="19" xfId="0" applyFont="1" applyFill="1" applyBorder="1" applyProtection="1">
      <protection locked="0"/>
    </xf>
    <xf numFmtId="0" fontId="8" fillId="0" borderId="19" xfId="0" applyFont="1" applyBorder="1"/>
    <xf numFmtId="0" fontId="8" fillId="6" borderId="19" xfId="0" applyFont="1" applyFill="1" applyBorder="1" applyAlignment="1" applyProtection="1">
      <alignment horizontal="left"/>
      <protection locked="0"/>
    </xf>
    <xf numFmtId="0" fontId="8" fillId="0" borderId="74" xfId="0" applyFont="1" applyBorder="1" applyAlignment="1">
      <alignment horizontal="center"/>
    </xf>
    <xf numFmtId="0" fontId="30" fillId="6" borderId="30" xfId="0" applyFont="1" applyFill="1" applyBorder="1" applyAlignment="1">
      <alignment horizontal="center"/>
    </xf>
    <xf numFmtId="0" fontId="8" fillId="6" borderId="0" xfId="0" applyFont="1" applyFill="1" applyProtection="1">
      <protection locked="0"/>
    </xf>
    <xf numFmtId="0" fontId="8" fillId="6" borderId="0" xfId="0" applyFont="1" applyFill="1" applyAlignment="1" applyProtection="1">
      <alignment horizontal="left"/>
      <protection locked="0"/>
    </xf>
    <xf numFmtId="0" fontId="8" fillId="0" borderId="32" xfId="0" applyFont="1" applyBorder="1" applyAlignment="1">
      <alignment horizontal="center"/>
    </xf>
    <xf numFmtId="0" fontId="8" fillId="0" borderId="33" xfId="0" applyFont="1" applyBorder="1" applyProtection="1">
      <protection locked="0"/>
    </xf>
    <xf numFmtId="0" fontId="8" fillId="0" borderId="1" xfId="0" applyFont="1" applyBorder="1" applyProtection="1">
      <protection locked="0"/>
    </xf>
    <xf numFmtId="0" fontId="8" fillId="6" borderId="1" xfId="0" applyFont="1" applyFill="1" applyBorder="1" applyProtection="1">
      <protection locked="0"/>
    </xf>
    <xf numFmtId="0" fontId="8" fillId="0" borderId="1" xfId="0" applyFont="1" applyBorder="1"/>
    <xf numFmtId="0" fontId="8" fillId="6" borderId="1" xfId="0" applyFont="1" applyFill="1" applyBorder="1" applyAlignment="1" applyProtection="1">
      <alignment horizontal="left"/>
      <protection locked="0"/>
    </xf>
    <xf numFmtId="0" fontId="8" fillId="0" borderId="34" xfId="0" applyFont="1" applyBorder="1" applyAlignment="1">
      <alignment horizontal="center"/>
    </xf>
    <xf numFmtId="0" fontId="0" fillId="0" borderId="2" xfId="0" applyBorder="1" applyAlignment="1">
      <alignment vertical="top"/>
    </xf>
    <xf numFmtId="0" fontId="8" fillId="15" borderId="0" xfId="0" applyFont="1" applyFill="1"/>
    <xf numFmtId="0" fontId="8" fillId="15" borderId="0" xfId="0" applyFont="1" applyFill="1" applyProtection="1">
      <protection locked="0"/>
    </xf>
    <xf numFmtId="167" fontId="19" fillId="15" borderId="0" xfId="4" applyNumberFormat="1" applyFont="1" applyFill="1" applyAlignment="1">
      <alignment horizontal="centerContinuous"/>
    </xf>
    <xf numFmtId="167" fontId="29" fillId="15" borderId="0" xfId="4" applyNumberFormat="1" applyFont="1" applyFill="1" applyAlignment="1">
      <alignment horizontal="centerContinuous" wrapText="1"/>
    </xf>
    <xf numFmtId="0" fontId="19" fillId="15" borderId="2" xfId="0" applyFont="1" applyFill="1" applyBorder="1" applyAlignment="1">
      <alignment horizontal="center" vertical="center" wrapText="1"/>
    </xf>
    <xf numFmtId="0" fontId="19" fillId="15" borderId="2" xfId="0" applyFont="1" applyFill="1" applyBorder="1" applyAlignment="1" applyProtection="1">
      <alignment horizontal="center" vertical="center" wrapText="1"/>
      <protection locked="0"/>
    </xf>
    <xf numFmtId="167" fontId="19" fillId="13" borderId="80" xfId="4" applyNumberFormat="1" applyFont="1" applyFill="1" applyBorder="1" applyAlignment="1" applyProtection="1">
      <alignment horizontal="center" vertical="center" wrapText="1"/>
    </xf>
    <xf numFmtId="167" fontId="19" fillId="13" borderId="35" xfId="4" applyNumberFormat="1" applyFont="1" applyFill="1" applyBorder="1" applyAlignment="1" applyProtection="1">
      <alignment horizontal="center" vertical="center" wrapText="1"/>
    </xf>
    <xf numFmtId="0" fontId="15" fillId="4" borderId="35" xfId="5" applyNumberFormat="1" applyFont="1" applyFill="1" applyBorder="1" applyAlignment="1" applyProtection="1">
      <alignment horizontal="center" vertical="center" wrapText="1"/>
      <protection locked="0"/>
    </xf>
    <xf numFmtId="0" fontId="19" fillId="4" borderId="2" xfId="0" applyFont="1" applyFill="1" applyBorder="1" applyAlignment="1">
      <alignment horizontal="center" vertical="center" wrapText="1"/>
    </xf>
    <xf numFmtId="0" fontId="19" fillId="0" borderId="0" xfId="1" applyFont="1" applyAlignment="1" applyProtection="1">
      <alignment horizontal="center" vertical="center" wrapText="1"/>
      <protection hidden="1"/>
    </xf>
    <xf numFmtId="0" fontId="8" fillId="18" borderId="2" xfId="0" applyFont="1" applyFill="1" applyBorder="1"/>
    <xf numFmtId="0" fontId="31" fillId="0" borderId="0" xfId="10" quotePrefix="1" applyFont="1"/>
    <xf numFmtId="0" fontId="31" fillId="6" borderId="0" xfId="10" applyFont="1" applyFill="1" applyAlignment="1">
      <alignment horizontal="center" vertical="center"/>
    </xf>
    <xf numFmtId="0" fontId="8" fillId="3" borderId="0" xfId="1" applyFont="1" applyFill="1"/>
    <xf numFmtId="0" fontId="18" fillId="3" borderId="0" xfId="1" applyFont="1" applyFill="1" applyAlignment="1">
      <alignment horizontal="left" vertical="center"/>
    </xf>
    <xf numFmtId="0" fontId="31" fillId="3" borderId="0" xfId="2" applyFont="1" applyFill="1" applyAlignment="1">
      <alignment horizontal="center" vertical="center"/>
    </xf>
    <xf numFmtId="0" fontId="8" fillId="0" borderId="0" xfId="1" applyFont="1" applyAlignment="1">
      <alignment horizontal="center" vertical="center"/>
    </xf>
    <xf numFmtId="0" fontId="15" fillId="16" borderId="0" xfId="1" applyFont="1" applyFill="1" applyAlignment="1">
      <alignment horizontal="left" vertical="center"/>
    </xf>
    <xf numFmtId="0" fontId="31" fillId="16" borderId="0" xfId="2" applyFont="1" applyFill="1" applyAlignment="1">
      <alignment horizontal="center" vertical="center"/>
    </xf>
    <xf numFmtId="0" fontId="13" fillId="16" borderId="0" xfId="1" applyFont="1" applyFill="1"/>
    <xf numFmtId="0" fontId="13" fillId="6" borderId="0" xfId="1" applyFont="1" applyFill="1"/>
    <xf numFmtId="0" fontId="15" fillId="6" borderId="0" xfId="1" applyFont="1" applyFill="1" applyAlignment="1">
      <alignment horizontal="left" vertical="center"/>
    </xf>
    <xf numFmtId="0" fontId="31" fillId="3" borderId="0" xfId="10" applyFont="1" applyFill="1" applyAlignment="1" applyProtection="1">
      <alignment horizontal="center" vertical="center"/>
    </xf>
    <xf numFmtId="0" fontId="31" fillId="0" borderId="0" xfId="10" applyFont="1"/>
    <xf numFmtId="0" fontId="1" fillId="0" borderId="0" xfId="0" applyFont="1" applyAlignment="1">
      <alignment vertical="center"/>
    </xf>
    <xf numFmtId="0" fontId="32" fillId="0" borderId="1" xfId="1" applyFont="1" applyBorder="1"/>
    <xf numFmtId="0" fontId="19" fillId="15" borderId="0" xfId="1" applyFont="1" applyFill="1" applyAlignment="1">
      <alignment horizontal="centerContinuous"/>
    </xf>
    <xf numFmtId="0" fontId="19" fillId="19" borderId="2" xfId="3" applyFont="1" applyFill="1" applyBorder="1" applyAlignment="1">
      <alignment vertical="top" wrapText="1"/>
    </xf>
    <xf numFmtId="0" fontId="8" fillId="19" borderId="2" xfId="3" applyFont="1" applyFill="1" applyBorder="1" applyAlignment="1" applyProtection="1">
      <alignment vertical="top" wrapText="1"/>
      <protection locked="0"/>
    </xf>
    <xf numFmtId="1" fontId="19" fillId="20" borderId="2" xfId="4" applyNumberFormat="1" applyFont="1" applyFill="1" applyBorder="1" applyAlignment="1" applyProtection="1">
      <alignment vertical="top" wrapText="1"/>
    </xf>
    <xf numFmtId="0" fontId="8" fillId="0" borderId="17" xfId="1" applyFont="1" applyBorder="1" applyAlignment="1">
      <alignment horizontal="right" vertical="center"/>
    </xf>
    <xf numFmtId="0" fontId="8" fillId="0" borderId="81" xfId="1" applyFont="1" applyBorder="1" applyAlignment="1">
      <alignment vertical="center" wrapText="1"/>
    </xf>
    <xf numFmtId="0" fontId="8" fillId="0" borderId="82" xfId="1" applyFont="1" applyBorder="1" applyAlignment="1">
      <alignment vertical="center" wrapText="1"/>
    </xf>
    <xf numFmtId="0" fontId="8" fillId="0" borderId="83" xfId="1" applyFont="1" applyBorder="1" applyAlignment="1">
      <alignment vertical="center" wrapText="1"/>
    </xf>
    <xf numFmtId="0" fontId="8" fillId="0" borderId="84" xfId="0" applyFont="1" applyBorder="1"/>
    <xf numFmtId="0" fontId="8" fillId="0" borderId="85" xfId="0" applyFont="1" applyBorder="1"/>
    <xf numFmtId="0" fontId="8" fillId="0" borderId="86" xfId="0" applyFont="1" applyBorder="1"/>
    <xf numFmtId="0" fontId="30" fillId="6" borderId="36" xfId="0" applyFont="1" applyFill="1" applyBorder="1" applyAlignment="1">
      <alignment horizontal="center"/>
    </xf>
    <xf numFmtId="165" fontId="8" fillId="3" borderId="28" xfId="9" applyFont="1" applyFill="1" applyBorder="1" applyAlignment="1" applyProtection="1">
      <alignment vertical="center"/>
      <protection hidden="1"/>
    </xf>
    <xf numFmtId="0" fontId="8" fillId="3" borderId="28" xfId="9" applyNumberFormat="1" applyFont="1" applyFill="1" applyBorder="1" applyAlignment="1" applyProtection="1">
      <alignment vertical="center"/>
      <protection hidden="1"/>
    </xf>
    <xf numFmtId="0" fontId="33" fillId="3" borderId="0" xfId="1" applyFont="1" applyFill="1"/>
    <xf numFmtId="0" fontId="34" fillId="3" borderId="0" xfId="10" applyFont="1" applyFill="1" applyAlignment="1" applyProtection="1">
      <alignment horizontal="center" vertical="center"/>
    </xf>
    <xf numFmtId="0" fontId="35" fillId="16" borderId="0" xfId="1" applyFont="1" applyFill="1"/>
    <xf numFmtId="0" fontId="19" fillId="21" borderId="2" xfId="3" applyFont="1" applyFill="1" applyBorder="1" applyAlignment="1">
      <alignment vertical="top" wrapText="1"/>
    </xf>
    <xf numFmtId="0" fontId="8" fillId="21" borderId="2" xfId="3" applyFont="1" applyFill="1" applyBorder="1" applyAlignment="1" applyProtection="1">
      <alignment vertical="top" wrapText="1"/>
      <protection locked="0"/>
    </xf>
    <xf numFmtId="1" fontId="19" fillId="22" borderId="2" xfId="4" applyNumberFormat="1" applyFont="1" applyFill="1" applyBorder="1" applyAlignment="1" applyProtection="1">
      <alignment vertical="top" wrapText="1"/>
    </xf>
    <xf numFmtId="0" fontId="35" fillId="6" borderId="0" xfId="1" applyFont="1" applyFill="1"/>
    <xf numFmtId="165" fontId="8" fillId="3" borderId="27" xfId="4" applyFont="1" applyFill="1" applyBorder="1" applyAlignment="1" applyProtection="1">
      <alignment vertical="center"/>
      <protection hidden="1"/>
    </xf>
    <xf numFmtId="0" fontId="13" fillId="0" borderId="42" xfId="1" applyFont="1" applyBorder="1" applyAlignment="1" applyProtection="1">
      <alignment horizontal="center" vertical="center" wrapText="1"/>
      <protection locked="0" hidden="1"/>
    </xf>
    <xf numFmtId="0" fontId="13" fillId="0" borderId="52" xfId="1" applyFont="1" applyBorder="1" applyAlignment="1" applyProtection="1">
      <alignment horizontal="center" vertical="center" wrapText="1"/>
      <protection locked="0" hidden="1"/>
    </xf>
    <xf numFmtId="0" fontId="16" fillId="0" borderId="58" xfId="1" applyFont="1" applyBorder="1" applyAlignment="1" applyProtection="1">
      <alignment horizontal="center"/>
      <protection locked="0" hidden="1"/>
    </xf>
    <xf numFmtId="0" fontId="16" fillId="0" borderId="20" xfId="1" applyFont="1" applyBorder="1" applyAlignment="1" applyProtection="1">
      <alignment horizontal="center"/>
      <protection locked="0" hidden="1"/>
    </xf>
    <xf numFmtId="0" fontId="14" fillId="0" borderId="59" xfId="1" applyFont="1" applyBorder="1" applyAlignment="1" applyProtection="1">
      <alignment horizontal="center"/>
      <protection locked="0" hidden="1"/>
    </xf>
    <xf numFmtId="0" fontId="14" fillId="0" borderId="60" xfId="1" applyFont="1" applyBorder="1" applyAlignment="1" applyProtection="1">
      <alignment horizontal="center"/>
      <protection locked="0" hidden="1"/>
    </xf>
    <xf numFmtId="0" fontId="16" fillId="0" borderId="61" xfId="1" applyFont="1" applyBorder="1" applyAlignment="1" applyProtection="1">
      <alignment horizontal="center"/>
      <protection locked="0" hidden="1"/>
    </xf>
    <xf numFmtId="0" fontId="27" fillId="0" borderId="59" xfId="1" applyFont="1" applyBorder="1" applyAlignment="1" applyProtection="1">
      <alignment horizontal="center"/>
      <protection locked="0" hidden="1"/>
    </xf>
    <xf numFmtId="0" fontId="27" fillId="0" borderId="62" xfId="1" applyFont="1" applyBorder="1" applyAlignment="1" applyProtection="1">
      <alignment horizontal="center"/>
      <protection locked="0" hidden="1"/>
    </xf>
    <xf numFmtId="0" fontId="13" fillId="0" borderId="49" xfId="1" applyFont="1" applyBorder="1" applyAlignment="1" applyProtection="1">
      <alignment horizontal="center" vertical="center" wrapText="1"/>
      <protection locked="0" hidden="1"/>
    </xf>
    <xf numFmtId="0" fontId="13" fillId="0" borderId="43" xfId="1" applyFont="1" applyBorder="1" applyAlignment="1" applyProtection="1">
      <alignment horizontal="center" vertical="center" wrapText="1"/>
      <protection locked="0" hidden="1"/>
    </xf>
    <xf numFmtId="0" fontId="13" fillId="0" borderId="50" xfId="1" applyFont="1" applyBorder="1" applyAlignment="1" applyProtection="1">
      <alignment horizontal="center" vertical="center" wrapText="1"/>
      <protection locked="0" hidden="1"/>
    </xf>
    <xf numFmtId="0" fontId="18" fillId="0" borderId="6" xfId="1" applyFont="1" applyBorder="1" applyAlignment="1" applyProtection="1">
      <alignment horizontal="center"/>
      <protection locked="0" hidden="1"/>
    </xf>
    <xf numFmtId="0" fontId="18" fillId="0" borderId="35" xfId="1" applyFont="1" applyBorder="1" applyAlignment="1" applyProtection="1">
      <alignment horizontal="center"/>
      <protection locked="0" hidden="1"/>
    </xf>
    <xf numFmtId="0" fontId="18" fillId="0" borderId="5" xfId="1" applyFont="1" applyBorder="1" applyAlignment="1" applyProtection="1">
      <alignment horizontal="center"/>
      <protection locked="0" hidden="1"/>
    </xf>
    <xf numFmtId="0" fontId="13" fillId="0" borderId="49" xfId="1" applyFont="1" applyBorder="1" applyAlignment="1" applyProtection="1">
      <alignment horizontal="center" vertical="center"/>
      <protection locked="0" hidden="1"/>
    </xf>
    <xf numFmtId="0" fontId="13" fillId="0" borderId="43" xfId="1" applyFont="1" applyBorder="1" applyAlignment="1" applyProtection="1">
      <alignment horizontal="center" vertical="center"/>
      <protection locked="0" hidden="1"/>
    </xf>
    <xf numFmtId="0" fontId="13" fillId="0" borderId="59" xfId="1" applyFont="1" applyBorder="1" applyAlignment="1" applyProtection="1">
      <alignment horizontal="center"/>
      <protection locked="0" hidden="1"/>
    </xf>
    <xf numFmtId="0" fontId="13" fillId="0" borderId="60" xfId="1" applyFont="1" applyBorder="1" applyAlignment="1" applyProtection="1">
      <alignment horizontal="center"/>
      <protection locked="0" hidden="1"/>
    </xf>
    <xf numFmtId="0" fontId="26" fillId="0" borderId="46" xfId="1" applyFont="1" applyBorder="1" applyAlignment="1" applyProtection="1">
      <alignment horizontal="center" vertical="center" wrapText="1"/>
      <protection locked="0" hidden="1"/>
    </xf>
    <xf numFmtId="0" fontId="26" fillId="0" borderId="47" xfId="1" applyFont="1" applyBorder="1" applyAlignment="1" applyProtection="1">
      <alignment horizontal="center" vertical="center" wrapText="1"/>
      <protection locked="0" hidden="1"/>
    </xf>
    <xf numFmtId="0" fontId="26" fillId="0" borderId="48" xfId="1" applyFont="1" applyBorder="1" applyAlignment="1" applyProtection="1">
      <alignment horizontal="center" vertical="center" wrapText="1"/>
      <protection locked="0" hidden="1"/>
    </xf>
    <xf numFmtId="0" fontId="8" fillId="0" borderId="21" xfId="1" applyFont="1" applyBorder="1" applyAlignment="1" applyProtection="1">
      <alignment horizontal="center"/>
      <protection locked="0"/>
    </xf>
    <xf numFmtId="0" fontId="8" fillId="0" borderId="22" xfId="1" applyFont="1" applyBorder="1" applyAlignment="1" applyProtection="1">
      <alignment horizontal="center"/>
      <protection locked="0"/>
    </xf>
    <xf numFmtId="0" fontId="8" fillId="0" borderId="23" xfId="1" applyFont="1" applyBorder="1" applyAlignment="1" applyProtection="1">
      <alignment horizontal="center"/>
      <protection locked="0"/>
    </xf>
    <xf numFmtId="0" fontId="8" fillId="0" borderId="24" xfId="1" applyFont="1" applyBorder="1" applyAlignment="1" applyProtection="1">
      <alignment horizontal="center"/>
      <protection locked="0"/>
    </xf>
    <xf numFmtId="0" fontId="16" fillId="0" borderId="16" xfId="1" applyFont="1" applyBorder="1" applyAlignment="1" applyProtection="1">
      <alignment horizontal="center"/>
      <protection locked="0"/>
    </xf>
    <xf numFmtId="0" fontId="16" fillId="0" borderId="18" xfId="1" applyFont="1" applyBorder="1" applyAlignment="1" applyProtection="1">
      <alignment horizontal="center"/>
      <protection locked="0"/>
    </xf>
    <xf numFmtId="0" fontId="17" fillId="0" borderId="2" xfId="1" applyFont="1" applyBorder="1" applyAlignment="1" applyProtection="1">
      <alignment horizontal="center" vertical="center" wrapText="1"/>
      <protection locked="0"/>
    </xf>
    <xf numFmtId="0" fontId="19" fillId="15" borderId="27" xfId="0" applyFont="1" applyFill="1" applyBorder="1" applyAlignment="1">
      <alignment horizontal="center" vertical="center" wrapText="1"/>
    </xf>
    <xf numFmtId="0" fontId="30" fillId="7" borderId="37" xfId="0" applyFont="1" applyFill="1" applyBorder="1" applyAlignment="1">
      <alignment horizontal="center" vertical="center" wrapText="1"/>
    </xf>
    <xf numFmtId="0" fontId="30" fillId="7" borderId="36" xfId="0" applyFont="1" applyFill="1" applyBorder="1" applyAlignment="1">
      <alignment horizontal="center" vertical="center" wrapText="1"/>
    </xf>
    <xf numFmtId="0" fontId="18" fillId="11" borderId="44" xfId="0" applyFont="1" applyFill="1" applyBorder="1" applyAlignment="1">
      <alignment horizontal="center"/>
    </xf>
    <xf numFmtId="0" fontId="18" fillId="11" borderId="3" xfId="0" applyFont="1" applyFill="1" applyBorder="1" applyAlignment="1">
      <alignment horizontal="center"/>
    </xf>
    <xf numFmtId="0" fontId="18" fillId="10" borderId="70" xfId="0" applyFont="1" applyFill="1" applyBorder="1" applyAlignment="1">
      <alignment horizontal="center"/>
    </xf>
    <xf numFmtId="0" fontId="18" fillId="10" borderId="71" xfId="0" applyFont="1" applyFill="1" applyBorder="1" applyAlignment="1">
      <alignment horizontal="center"/>
    </xf>
    <xf numFmtId="0" fontId="18" fillId="10" borderId="72" xfId="0" applyFont="1" applyFill="1" applyBorder="1" applyAlignment="1">
      <alignment horizontal="center"/>
    </xf>
  </cellXfs>
  <cellStyles count="11">
    <cellStyle name="Comma" xfId="9" builtinId="3"/>
    <cellStyle name="Comma [0]" xfId="7" builtinId="6"/>
    <cellStyle name="Comma 2" xfId="4" xr:uid="{00000000-0005-0000-0000-000002000000}"/>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2" xfId="8" xr:uid="{00000000-0005-0000-0000-000009000000}"/>
  </cellStyles>
  <dxfs count="58">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57"/>
      <tableStyleElement type="headerRow" dxfId="56"/>
      <tableStyleElement type="totalRow" dxfId="55"/>
      <tableStyleElement type="firstRowStripe" dxfId="54"/>
      <tableStyleElement type="firstColumnStripe" dxfId="53"/>
      <tableStyleElement type="firstSubtotalColumn" dxfId="52"/>
      <tableStyleElement type="firstSubtotalRow" dxfId="51"/>
      <tableStyleElement type="secondSubtotalRow" dxfId="50"/>
      <tableStyleElement type="firstRowSubheading" dxfId="49"/>
      <tableStyleElement type="secondRowSubheading" dxfId="48"/>
      <tableStyleElement type="pageFieldLabels" dxfId="47"/>
      <tableStyleElement type="pageFieldValues" dxfId="46"/>
    </tableStyle>
    <tableStyle name="PivotStyleMedium8 2 2" table="0" count="12" xr9:uid="{00000000-0011-0000-FFFF-FFFF01000000}">
      <tableStyleElement type="wholeTable" dxfId="45"/>
      <tableStyleElement type="headerRow" dxfId="44"/>
      <tableStyleElement type="totalRow" dxfId="43"/>
      <tableStyleElement type="firstRowStripe" dxfId="42"/>
      <tableStyleElement type="firstColumnStripe" dxfId="41"/>
      <tableStyleElement type="firstSubtotalColumn" dxfId="40"/>
      <tableStyleElement type="firstSubtotalRow" dxfId="39"/>
      <tableStyleElement type="secondSubtotalRow" dxfId="38"/>
      <tableStyleElement type="firstRowSubheading" dxfId="37"/>
      <tableStyleElement type="secondRowSubheading" dxfId="36"/>
      <tableStyleElement type="pageFieldLabels" dxfId="35"/>
      <tableStyleElement type="pageFieldValues" dxfId="34"/>
    </tableStyle>
    <tableStyle name="PivotStyleMedium8 2 2 2" table="0" count="13" xr9:uid="{00000000-0011-0000-FFFF-FFFF02000000}">
      <tableStyleElement type="wholeTable" dxfId="33"/>
      <tableStyleElement type="headerRow" dxfId="32"/>
      <tableStyleElement type="totalRow" dxfId="31"/>
      <tableStyleElement type="lastColumn" dxfId="30"/>
      <tableStyleElement type="firstRowStripe" dxfId="29"/>
      <tableStyleElement type="firstColumnStripe" dxfId="28"/>
      <tableStyleElement type="firstSubtotalColumn" dxfId="27"/>
      <tableStyleElement type="firstSubtotalRow" dxfId="26"/>
      <tableStyleElement type="secondSubtotalRow" dxfId="25"/>
      <tableStyleElement type="firstRowSubheading" dxfId="24"/>
      <tableStyleElement type="secondRowSubheading" dxfId="23"/>
      <tableStyleElement type="pageFieldLabels" dxfId="22"/>
      <tableStyleElement type="pageFieldValues" dxfId="21"/>
    </tableStyle>
    <tableStyle name="PivotStyleMedium8 2 3" table="0" count="12" xr9:uid="{00000000-0011-0000-FFFF-FFFF03000000}">
      <tableStyleElement type="wholeTable" dxfId="20"/>
      <tableStyleElement type="headerRow" dxfId="19"/>
      <tableStyleElement type="totalRow" dxfId="18"/>
      <tableStyleElement type="firstRowStripe" dxfId="17"/>
      <tableStyleElement type="firstColumnStripe" dxfId="16"/>
      <tableStyleElement type="firstSubtotalColumn"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 name="Table Style 1" pivot="0" count="2" xr9:uid="{00000000-0011-0000-FFFF-FFFF04000000}">
      <tableStyleElement type="wholeTable" dxfId="8"/>
      <tableStyleElement type="headerRow" dxfId="7"/>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8A08B490-59B1-4F86-9339-4A2F2BD3C63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48049" y="16363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1E6AD5C6-16D4-4382-BFF9-F6447AB7B98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635204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16DAF43C-0C06-4F93-B620-56A2B06D5E59}"/>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0C739E58-85E7-4DA4-9F70-DE54AE6B7DD8}"/>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0DFDF8AA-B40E-4892-BDE5-C406E4BF99E2}"/>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41E12224-D8B4-4A82-872F-1DD633BC3592}"/>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584CEEB8-CC0A-4AF3-84AD-7022D4BAF877}"/>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1FDE10AB-AECB-4910-B610-2D5C2DACF61B}"/>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FB9B52FD-5CDD-4343-9E01-A94DE079C35F}"/>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B83995FA-4BD2-43D3-9D22-8E870DA5C150}"/>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A61D1C31-A82E-41A5-B9F9-C5BF8FBC8243}"/>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627B68EB-9868-4AA1-8CEB-F545068CAD65}"/>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B5CED433-E202-40A5-849C-DD40521FEDE9}"/>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E1BA35F0-03E7-4559-88E4-D6358EEEA760}"/>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F6CC04A7-381C-4EE9-8AD7-3BDF836D9C82}"/>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C099DDED-FC29-4B0F-9FBC-E0CE1DEA85A1}"/>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CC816FA0-353C-4CA2-A22E-1A551B856A85}"/>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7E10D3DB-5391-417A-A464-75137D221CD1}"/>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6DCADDC7-83CB-44DB-8EC3-D4BD6CCBC049}"/>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7A4AAEF2-9C9D-44A9-A999-ACAA9289AE59}"/>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4F271D6B-BC42-47A1-B952-A05FFDDDDC06}"/>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88DC9712-079E-43AD-853A-CC296D3C1E52}"/>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AC8AF385-B808-40A4-8757-D7446BEA08B3}"/>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2C3256D2-F358-41D3-A756-D610F71BB0EE}"/>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71F378D2-AF47-4C36-A57E-C685AEE89FFE}"/>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1DD6082D-2A5D-4363-B7B5-3554800DF497}"/>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4097B84B-8001-462C-B8C2-94D04B39D324}"/>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5FD295A6-1F86-40CB-ADBF-F35491ED748C}"/>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07BC4C56-88B6-4160-A7A8-CE6C0B26E821}"/>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ED55939F-B855-4F6F-9B7B-261DC6FB3CE5}"/>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7EBD1BEA-6734-48AB-85D7-77C30A0D87F7}"/>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33EA7D07-9B96-4683-9E75-6243546808C8}"/>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88124790-72B6-4391-B8BA-ED2B5C129689}"/>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F6C892C6-4677-42CA-9908-028B8B286CD6}"/>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0504C888-B6D8-48EC-95F8-FCC897C39385}"/>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35A09CDB-2BF8-409C-8D91-CEA8188490E4}"/>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9DF85D19-CD7F-4847-BFD0-78F91994C0DD}"/>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EDFA8072-5428-4476-B696-2347F957721D}"/>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09159C59-4BE7-496A-B1DC-83A8EE28667B}"/>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B9C3A2D3-2A60-47E6-B128-6886E93E2A74}"/>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43E2D0ED-E105-4E2F-8F3B-DBBA1C0C28CF}"/>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286CB1F8-6415-4D91-BF83-47D7473C63F7}"/>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3E1C1AC0-4766-42F9-8836-66D1A6E6E629}"/>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50B8ECE6-BEC5-46A4-AF9D-0E2479B08807}"/>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C8430615-797F-4D64-A0A3-FD1D63840E7B}"/>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D6200D6C-6511-4204-A038-9479F9804865}"/>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14B6E687-7DD1-4165-9FAD-4E3130BDEFB4}"/>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74E8662F-C34B-4B53-8F35-FEB54A4A62B7}"/>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19B3830D-453F-493D-8D82-793014B954F1}"/>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3CD68ACA-B799-4891-994A-9D336FD985C0}"/>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727BEA34-6F0A-481D-9ABB-E61E8200B4F1}"/>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6DEBCA06-D8A7-42B6-A784-3BF5CBD8C2CB}"/>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FDF8C21C-876B-4120-97CC-D0462E1361B8}"/>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EA0ED79A-817A-413E-ADC4-213BC9A66F89}"/>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ACFCEE0D-D0C4-4D00-AB26-73FB6D35D7BB}"/>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E6E10DA1-9EAD-483B-9970-7EEABE22D035}"/>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8CDD7E4F-2CB5-497C-81AC-F3A9E22C4A1D}"/>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7FC7CDD3-2175-47F5-A71A-881EBCA03199}"/>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B3FFA4A4-9485-45ED-AEE9-E5E45C4E8865}"/>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4E5F3A91-E2D9-4D60-B84C-0980EAC518AF}"/>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FE146A7D-651A-4EFD-B894-30884CD02BBC}"/>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BB088776-F6E2-4F8A-A328-FA4D24B10B03}"/>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BB23A074-B4CB-4707-AA31-9B9C8853F4FD}"/>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782A1E08-E730-4C99-874F-D1DE7B3B3B56}"/>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EB74EC55-EFB8-414B-9FE8-12F2553593BF}"/>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311286A2-6725-4B52-B16A-1548786E540A}"/>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AC02327B-7F2B-4A66-AD81-FFF398D1EB62}"/>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9758F791-FA3E-4C5A-AFA2-1F767DB0ECB3}"/>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37BFA8A8-1CC9-4C38-AA23-CCC2C35C0580}"/>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6E1C8DF4-FB54-424A-9844-79BDDAA0687E}"/>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71364D22-5092-467E-AA59-40EA90E56B27}"/>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A638E492-3E21-4D51-81F9-02224DFF67B5}"/>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5256C8AC-54A2-4747-8DB9-9544AC107997}"/>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EB680DD2-FC88-4B52-B62D-10373DC6C25A}"/>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D4A82BAE-CCBF-4D35-B5CD-6302A5BA4D6E}"/>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FE37C44F-3F8B-4FBD-82BC-B56D02AF07B9}"/>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35701E8A-DF7B-4CF3-ACCF-8AC8A80CEFB8}"/>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17C5995E-6DC1-4FD0-85F3-7A22605BC514}"/>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9D03825B-8325-43B7-BD10-96FFC8409EB4}"/>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36DDB3A8-FE7A-46C2-B94E-2F1EA014F0CD}"/>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E06E00F6-47F1-44BA-8AE8-D9DFF9BE9531}"/>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715D04EB-96F4-4A68-A514-C56583B025E9}"/>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EE533EA9-1127-45AB-843B-74545F4CF948}"/>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B8380D46-2D6E-451F-902D-8D1E5241CE7A}"/>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A2FF9088-5A65-4412-A095-495B27BF52A6}"/>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DD8EAF26-93C6-4277-B7A8-706547956707}"/>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F5379654-D450-4B25-85A8-FB1608E9A1EE}"/>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DE3F2FF0-ECD1-47DB-AEEE-3387FFA83A84}"/>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8C7D7584-AF28-44DB-B4EF-EB6DA642BABC}"/>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FF6FA340-639D-45AE-97A1-9BC268541B07}"/>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62B9932E-3539-4C0B-8D72-527DC45ADF32}"/>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E548FEEA-EB80-493D-8715-19A887107F78}"/>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99C4D480-0397-4F84-8054-B109D255BCB9}"/>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A864A7E1-423B-486F-B553-E936FBE6DFAB}"/>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4B76C97D-3DD2-4060-B163-ACA03B46B041}"/>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3211A655-0DD5-4DA6-806B-8E338AF36B4E}"/>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2DA98B9C-A0FA-48FE-A7C7-6F4ACD7BF478}"/>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1B511983-945D-4BEE-848D-AC49FC754526}"/>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A3AF5C4E-977B-4F60-969C-C99364C28787}"/>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B1343FF1-6A49-415C-8764-15AC66E5C2BE}"/>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31EEF89F-5A53-4A66-A566-6B3567D2CC96}"/>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90934399-7086-4CC0-8A03-FB5B64C0EB10}"/>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6765EA2E-4B7E-4484-92FF-1E1F7229F2B8}"/>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43F99F63-F1A1-4962-BFC6-15332C575C7A}"/>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3A5F739E-7FAE-43A7-A843-7B3C398DA0DA}"/>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DF642936-A945-43B5-AEE4-4EB28D968500}"/>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79006395-856C-4CFF-B206-F79167428EC1}"/>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88894D26-47C9-4697-817F-CD86CC793C9A}"/>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DAD94C0A-0F1B-4DCA-8138-C9A5D05592A1}"/>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9327D688-B4DA-40BF-A00B-56997B2427CB}"/>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F5F6DA36-61A6-4A5E-B93F-333DE5F70C66}"/>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ABFFA8C0-FB3C-47CF-8850-4119C3D5678E}"/>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6034E2A2-E5D9-4C76-A759-BB25BCB323AE}"/>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73CD6406-0DB0-4F63-B948-F9F250AC12A9}"/>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CCDF4AE5-8231-4235-9619-FF84F558C79A}"/>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02AB1A16-4514-47DF-850D-392F1B0E18EF}"/>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CF315153-4546-4460-9791-18922F063578}"/>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EB6B3771-5896-4261-9193-5E9497B5C74E}"/>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E2047ED9-041E-4A52-84FF-5CC5EFB303E2}"/>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CFA8087C-756F-4171-8C62-6F724374111E}"/>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B3064275-465C-499A-9D0A-11799AE9AEF5}"/>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C60CFCBF-9656-412F-AE71-433F364E771C}"/>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986637D3-09C8-49B7-A7AA-587E6C7B3C60}"/>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B126A0F4-4DEB-4EA1-B664-655D3E9184D7}"/>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DFC14323-114F-4E33-A316-9072F6F1A234}"/>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C90CCE2B-77B2-493A-82DC-A924483D7914}"/>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A78AF66A-4339-4332-8952-AE291BAD91D4}"/>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8C3A33FC-7974-4D4A-B2F4-722D298B2350}"/>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F95459C7-06C6-4879-A362-51D2B18E4E44}"/>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EAC63981-283A-4BA0-A685-5D1EA8201D4A}"/>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CCD1176A-BE32-46BA-8FB0-DB1C804960BA}"/>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079D7127-55C4-40CD-9BDE-2D7ECC238770}"/>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90DCC9C2-9BFC-4A36-92DA-7720F21BC2CA}"/>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AEF634E9-64CD-4865-A8E6-8FBE8866BDD1}"/>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284958B4-7993-45C7-8E5D-8345ED09CFE8}"/>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8F41F4A8-B229-43DB-89B9-75688ACCF7AB}"/>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9E1CB5ED-E6CF-4777-B998-6C92FF61F636}"/>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19A1D680-463F-4EB3-B7E8-5BE126D2BCE8}"/>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3A27C14A-B2E4-494D-BE68-A8DC9B7CCFC5}"/>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1FCBDD98-04B8-426C-BFF0-D9E3EE9A8E42}"/>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7FFB224C-1C11-448B-8C1A-801276F233F6}"/>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9BE1206B-057E-4635-8FB8-867C2948649C}"/>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C6C2D854-347B-49A3-B994-565484981B0D}"/>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AFA4DA01-A427-43B2-A9A5-3EBE1901C273}"/>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1DF649FF-37BD-4FDA-90EF-E9F6806DFC33}"/>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38BCB2B4-A1FD-4B97-A26B-70D6FF7CE146}"/>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E33FB489-C02E-4006-9D33-F4186B7B04E0}"/>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B0677BBB-A1A6-4621-81FC-7F5677461D77}"/>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F3474A0C-5BB2-4FA8-A260-47B3E6C6E139}"/>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7DFA9C18-0A4D-45FF-920C-113CF40F8A2E}"/>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EA0A0634-363B-49FD-B9B3-CD002F03F2AE}"/>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0CC34A14-AEA0-4C9F-B7F3-944E4C440AF9}"/>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4462073D-4F1A-4E34-8B02-924D9CC4AA54}"/>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4EB25CF8-0DC8-413E-934E-4AABE4BFE711}"/>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DA6F52F8-32CA-49C1-87FD-CC54799AEB50}"/>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7E0C416B-11FC-4A29-BEFA-BA363442A2ED}"/>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135FA91D-57E5-456F-A4F0-B1C3763B39C6}"/>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FAECB31A-8CCC-47BB-9A84-329B6F1905EB}"/>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C390E867-D18E-4D2C-8451-7228653963A3}"/>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CACF3C6E-FCE0-4E98-824F-650102DD2964}"/>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B2E0DCA4-6B12-4344-A894-8045EA746044}"/>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675D8949-23B8-48D7-A780-735B500D7C02}"/>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F36E62D3-93DD-4973-AB35-FBA99C47BE72}"/>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D1C3E46B-A351-42C8-AFEB-E5178E504B47}"/>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E3183D76-F33A-4716-840F-20EEA3EE5A8A}"/>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C6C638C9-3407-4935-AA3E-5ACF4B6E20D6}"/>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F379C00A-F596-435A-97D8-1D3D6A96B31A}"/>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8D60D904-E0CC-4298-B9AA-C78665616359}"/>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942AA5DD-1E50-4784-B153-81472201B74C}"/>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1449575E-CB80-4A5D-8C27-9B23E09D03C1}"/>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601258B0-5FC1-4B9B-AE2C-46ED6554D02C}"/>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3D7A12AC-75AC-4295-BB92-1C2D4D68DC19}"/>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89F846B9-BFBC-4E57-82F9-FAF4A96F4EC6}"/>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A78AE7AE-AE1B-4C56-955D-79B73D844457}"/>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ED1C9013-FC40-488D-A7DD-1445F3AF4E08}"/>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8AFF9B29-661E-4C4B-8880-7BDFA31A8008}"/>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BDC81622-7646-4065-A0E7-5FFDA4D1B48E}"/>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38B1BAA0-0598-4735-9D49-7D8641F13461}"/>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846F85E0-92CD-4279-9261-9F5FF76B88D0}"/>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49193357-1AD2-41CB-B87A-52119203868E}"/>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E9069510-8676-4C4E-9DC1-077CDD44C2DA}"/>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960C45BA-F7A2-448C-91FF-E6B008D95E85}"/>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FDE90AF6-C095-4853-ACAB-A28D58781F15}"/>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F2B0D86E-747A-44F3-B5AD-E21C02DB6808}"/>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FBD9B0BA-6A99-4D14-ABC0-FC238B557504}"/>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752DF7CB-DA7D-4B58-9136-14165D1C99ED}"/>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6A68ECDE-E2BC-43D0-A7A2-075FB1148642}"/>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1F1A9364-16C8-46EC-ACED-E1CC93492BBD}"/>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9301C43B-E847-48C0-8D7E-3905036F1B7C}"/>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D703DA4E-1A8C-4267-9C9D-770E22BA1132}"/>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081FEDB0-7226-4191-A1F3-10008FE72783}"/>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8ABD8D47-8D55-43F0-9273-677A7A51CE9A}"/>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A23414CF-3F2E-48E2-8E87-8965CA96B71D}"/>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32E9A1DC-CCE0-4882-94FF-80F453122AC8}"/>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5880733E-5426-486A-9AF9-6A269AFF7276}"/>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72467875-8C28-4A85-B885-C9F8F6079A64}"/>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7E22A478-0C33-4599-B337-22B01A327041}"/>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4F59A7FB-AC1A-4ED0-A702-870D818524E5}"/>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AB9622A9-1645-4C75-BFE0-45D6788CA0F0}"/>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1805FA75-7D59-4487-9E05-B38DD3D175D6}"/>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EB7DA8E8-D60C-416F-B158-A0598987FD24}"/>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2E5B65B0-86E6-49F3-B3D0-E65F3B77CA22}"/>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7C7358C2-0B94-4B52-8CF2-C556793EC999}"/>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5591AE95-67DD-4148-91ED-D195E0D591EA}"/>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24FDD5F4-6435-4537-A51E-8F0999CBCBB5}"/>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3ECAFD93-80F2-4306-91AB-C074535AFB43}"/>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9675AAB5-6FEB-4CCC-BEEF-D9037A988C6E}"/>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B7EEC690-D8DB-4579-9081-653B558BA04C}"/>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EEA84E27-9533-425B-BE33-E81FD2315C33}"/>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5CFCAA0A-AE31-4C40-AEE1-3938D89B2AA4}"/>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48A43B7B-3F3A-4836-9203-504954742640}"/>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B3401259-F7C8-47BE-90E1-07526CDA1332}"/>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F3189C1D-C7FC-4A93-BDCD-8A22B47748F8}"/>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2537BA1E-0314-4D46-B961-6F547683CBB5}"/>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37A93C7F-8819-478E-BA8D-AAF910DF67E8}"/>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1B3BDECF-C792-459C-B552-2BA3A9D52021}"/>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DFD9B513-2823-4996-8B37-40DCEFCC851D}"/>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9CEAD945-F8F3-4BA8-9C74-AAA5AE0D2823}"/>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688685E7-C03F-4749-83F1-A48DD0B6D330}"/>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EDF80FE3-AA2E-4BE9-87D1-7FBC691B4FFC}"/>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6AAF2A5D-B0A0-42CD-BA79-8BA17A8B585E}"/>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76649357-783B-4EF4-895A-275A16BCAC95}"/>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CE3ABF73-1BB5-49B4-9B87-3C0DD5FD6B55}"/>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3B8FE45D-6F8D-4C62-9274-5C5C4823B824}"/>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6B2E08B9-88AC-4D09-9591-C423392D75F4}"/>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B6F333F4-8EA4-4AA3-B933-AD613C978931}"/>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E60C5018-1D62-4ADC-8A3C-DBCCB4A543E1}"/>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DDC0EBF7-1468-4722-8D43-FF13361C37F5}"/>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00F17F46-87DB-4E00-983C-0F6E4DBD3E03}"/>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4E13F93F-5111-4ED0-BADD-B6CB281CB7B5}"/>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E2A5469A-21C5-40D0-B9FD-A46A1239311E}"/>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F7DA5705-56E1-422E-AFA8-81A9C76F192F}"/>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71A2805F-4EF3-455A-90EC-B0F555111A66}"/>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2FFB8E2A-9310-46E3-9F6D-E444754F3454}"/>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BE2731F3-56F8-44BE-97F9-A6F56109891D}"/>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4BD6694D-6434-43E6-A388-E2DE7ABD0295}"/>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397D80ED-2D1E-4CA0-9331-177BD1D699B0}"/>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977466C5-3CB8-40F6-983F-FF78ED09266A}"/>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B67D4511-8FFE-4AF2-81B5-34B8C13F9E2A}"/>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6F144308-6FC2-4C04-ACEA-CF46E06FEC83}"/>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C56582C1-C62E-49E4-BDED-71D887D769B7}"/>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DF85058A-4F04-43AF-AC0C-3457F3F69770}"/>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527437C5-B305-4168-A742-170DB9DFF569}"/>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8FBFCF74-744A-4C3A-B3C9-6F46092E8232}"/>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38B2BEC0-A9E1-4A7B-9550-A2BBE0973B6A}"/>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8DE22BC5-5DD4-40E7-98D9-AD61A1C6EDEE}"/>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2EBAABEF-2A9A-4BFF-AAD2-8BDFDB0E5146}"/>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B6BBE046-1809-4648-A1F8-89D68CA5285B}"/>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286E2CB6-DA21-426C-926D-8E913B13DDEE}"/>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E1E24B11-0FCB-424F-A205-EC09D9F34BD0}"/>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78ECF37E-A13F-472C-84C4-16CF9667FB9F}"/>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5AFDD64A-ECB8-4B90-9BBE-0E351365F6D0}"/>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F58B30DF-A3DB-4FCE-BE80-48A81506000A}"/>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54A1E911-5663-451A-BA5F-D4F9CF854F43}"/>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38166BC9-B11A-4A6A-B480-8D92F9C5A363}"/>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1C1A1500-EAE0-4488-93B1-47B852AB4DE4}"/>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58618226-3686-4A54-93AD-50BA38A46310}"/>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FF9FC99C-40C0-4243-A19A-551AF00C8F91}"/>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FE26C733-A933-46D7-9185-C7F9D6BB07C1}"/>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F615B824-CE76-47C5-A8F6-7B0F028AEE13}"/>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F08E642F-CB1A-4B68-8A43-68FE713DEE6C}"/>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AB69FA14-2064-4CCC-827B-A20B72C5AFB2}"/>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57E71EE7-3CC3-4459-980F-A2C3F5725491}"/>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3DD5F4D4-D2ED-4477-B201-2F25B9C2163F}"/>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22720B6A-18CF-428F-9310-21BBB26892FD}"/>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AD211048-ABD9-41EE-A6B8-998FC641697E}"/>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AE1B3596-23F6-4825-9D8A-76B3EF860BE2}"/>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DD6E0125-7021-4419-A3EE-999FDDDD79A6}"/>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1F4E3803-0221-41C7-9383-F4727A8CC4DC}"/>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D52AE981-3C09-4299-AB5D-A3E22CDD6A3B}"/>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8FDCFC44-0A21-47C0-8188-D885BE14EECC}"/>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FC348A9B-7D6B-49CB-98AF-C7A981F0EB80}"/>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AC78E92F-8F82-4F40-A7BB-A5E0933DFC68}"/>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EF254063-AB77-4EF4-985E-061745264706}"/>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1A079F6B-45EB-4CA4-BB83-85A2A8B845E2}"/>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98B0944C-AF00-463D-9AB6-5EFD1F5A3DD8}"/>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A4AB2226-993B-4252-9C4A-047091DA6894}"/>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5E082692-94B3-47F8-AC76-12B1CCE47B57}"/>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A00943BF-5D16-4F8A-8CE8-CA99A4104182}"/>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B9B2283D-C733-4104-9B02-8C1C24692ED2}"/>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938DFBF0-E79C-4A1D-AE5B-1FBCBEB06486}"/>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811A829B-EFE4-4A3B-A208-A1F54F33EAF6}"/>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9316039E-BC96-4BA5-9CAC-804113030BD4}"/>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0BC0C82F-3E32-4C76-8BD0-01F090A00E19}"/>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7C4A497E-9CCB-433B-99A4-D25946932164}"/>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4DBF815D-5F16-4852-B2AB-4397D479CEBE}"/>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FD5E0DB8-E270-4C84-8F1A-9ABCC522664B}"/>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86535C50-7F2F-4E3D-ADB0-E339B255348F}"/>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D5BB648E-041C-4433-8936-A2A24BAE71F7}"/>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9B47A53F-E1D9-4E3C-B923-A2D41D713F81}"/>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EBAA8258-E94A-4AB4-B0AB-0B47F4CB82F0}"/>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B4599BA6-738A-4B1E-A6D3-5878969B8D57}"/>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0753EE83-2AAD-453B-87AE-1CAB036CE4E8}"/>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FF8F8C80-7000-4357-B644-A0595092F0D3}"/>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3D399502-272C-4596-A946-35E9BB55708A}"/>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C57B04A9-100E-41F3-BBE4-C6FC8A88BAFB}"/>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F0D3E59A-96EF-47E5-8DCD-6953EED4FED4}"/>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985FE6DF-78B4-4BCC-845D-788A3668BABE}"/>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6F003A0D-E9B4-4278-9ED3-22AE06178FFB}"/>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5F2B9A3D-6986-4577-AA61-BFA109B3BE48}"/>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F043011C-0E7F-4DA7-83BC-06F2D9B34740}"/>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6F366B88-F2B2-423E-9898-12F1067F4E24}"/>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3BF27D91-04D9-4397-981F-6E23134EC535}"/>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EA42B46F-6460-44A7-9439-7F91C0C9CE0E}"/>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01F907CA-2013-439F-9634-3AF28E70A44F}"/>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042AE999-7A6B-422A-9ACB-558B89CD642E}"/>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D3770815-6317-49C3-95C9-FBEAC94432FF}"/>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FF2217AA-8BAA-48F5-BB48-AD4819F68D7F}"/>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7EA280A9-93D8-40D9-ACDF-4F9A92884870}"/>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D9D9586E-196D-477A-B3D2-E85B663DB2AE}"/>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3204EE12-7817-4BC2-AC60-599FC64317EE}"/>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54B4A9C1-0147-4D2B-9C40-A26BBCE3C1E7}"/>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1CD6D897-501A-45D2-BED3-EFBE1A5B9064}"/>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CE9AC494-02C7-4C5B-BEE1-B8AD88AF6179}"/>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0783B11E-8EA8-4D72-BF8B-8814CE2BDEFE}"/>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A5F44EA0-2B1F-4F3E-8739-FB5BA4C2DE68}"/>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52895B65-CC27-4A1D-8A4E-1D5E1CAA1303}"/>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F184272D-6F37-42F1-8F54-ADC7096F21BF}"/>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D182C94B-C57A-492A-A7B0-9FD5ED90A676}"/>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AEBD6825-8D18-462B-8AF0-5CC564F0E161}"/>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F668AA71-0165-47C4-A404-F29CD5EE3D99}"/>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F52CDB20-9E33-4DCF-941C-45A4C45F30E1}"/>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E3AF8122-E8F1-4AD9-8898-06709DE89804}"/>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3D0FF023-B814-4F75-A33D-2F7FD949525C}"/>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EC140AC9-AFDF-42A8-BF35-83D36FEE58C2}"/>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636D46E2-8B77-4267-AB38-24AE565CD274}"/>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BF4DCAEB-22CF-481C-837A-6D65437A65C0}"/>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D0A9771D-D788-4B3E-8A3A-F6E97C9D5C85}"/>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83AFBF41-02A6-4AE7-A0B7-1DF610A9E1A7}"/>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4DCED5A5-F7F1-4F95-B6DE-B79AA306C972}"/>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60FF5714-7C75-4AE6-80B6-93B67BC4A7F8}"/>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4F8E34CC-4ED7-4199-BEC2-F1310A490B2C}"/>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4DF563E0-0D26-4E7E-8483-F6529FEE21CE}"/>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36BD1720-1CF1-4F84-8C6F-4EB4A2958C27}"/>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2AFF5C1C-A3B1-4AF1-B761-9A7CF19AC118}"/>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1906D147-ABA7-4950-B9A1-0F5FB329BAE4}"/>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54B655C1-26E5-4C77-A859-1F864154EE7F}"/>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8A3C550E-0C06-460A-9620-78CF964D5822}"/>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BBED7C8A-61BC-4A4C-8F17-3D60028B558D}"/>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4DB009FA-D3DB-4093-ABBD-234A3BE7F0F9}"/>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96B4AB18-1734-48E1-9783-981FEA5C390B}"/>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2EDDB194-6C91-4E31-97CB-4BC9A0987E38}"/>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31356B16-01F8-4770-99AD-9FC922D5FCF5}"/>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8BA3EB69-B7FD-4896-9BEF-5118887BD85B}"/>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8CA094AA-1109-41B5-BEF9-BD41ED425B45}"/>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340D1C60-D179-4D8D-B5D4-C63C31BAB368}"/>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9ACABB39-9EED-4058-B32D-74AC78CA1CD1}"/>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FCC6DFF9-E59D-4AAB-818E-C81859A6183A}"/>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C28903E4-67CA-40A6-82C7-18FC4E3D85BF}"/>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9C67FE8E-9E8E-475A-A89F-82B771B14D1C}"/>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50C61382-A0BB-45D6-A248-66AA19DDD5B9}"/>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D99544E8-F523-4F02-9FB4-C41AC20C8CA5}"/>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E21DA92E-C683-4520-BC17-CF817B47C093}"/>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08D61BC1-C804-4FF2-A300-500E2D2E8221}"/>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B34C198F-D7E7-4803-8B33-A31D01CA9121}"/>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0B5ECE86-5502-4E79-A6D6-5D9941CEC2AA}"/>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D470483B-CC88-4615-A554-1B6F8D4C1D83}"/>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DFDC3063-72D8-435B-902B-6B9D3460CE23}"/>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D4FF3EC7-9E91-4A1F-AC7E-6E40ADAB6B63}"/>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377DB4B4-DC26-461D-9D13-7754DD94181F}"/>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778F4D53-7D7A-42E7-BC97-986311469E5D}"/>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6B8A94E6-6074-4133-A240-71DFF186A342}"/>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57F834B9-B915-42FB-9EA5-76880B6E1AB9}"/>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78FE0901-1461-435C-B5F0-514A80CB7992}"/>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40A24CB8-F87F-4D24-A2B4-3F8066A33147}"/>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908DAD91-9CE0-45CA-A95D-2FE0A74DC1F9}"/>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33BA33A0-0C44-4D0C-B6C8-A1742F1D769B}"/>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CA3A01EC-57B4-4116-A5A6-1FD0265CC8DE}"/>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6FC4BF42-1C45-4C1A-9ABF-AA0E36293441}"/>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FABE2EA4-6F75-44D6-996E-9B6331C5F0E2}"/>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D1D398DE-6DB9-462C-8E9C-BC0E95CA3EFB}"/>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10099630-F045-417A-B06F-AFD556F87C3D}"/>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C5ADFB25-DE33-436A-B78D-6AD42881AFCE}"/>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10448CC0-5B0A-493F-9A81-8C9BED879FDA}"/>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69872E36-3785-4DE4-937F-DFE6474C3F74}"/>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94107A70-3CFE-4455-97B8-3A4F3231D8A5}"/>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98289347-A1C9-4B36-9BD0-361E6C464DC3}"/>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0E6C98BF-B9FA-49A0-9AE2-0C45FB100E6B}"/>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E7089B2C-494D-4AA3-A32B-65B02957B80A}"/>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D43648AA-34B9-4D96-B70F-63620BFB9E21}"/>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CE535FE1-2CEC-45AD-81C1-EA40A15C5659}"/>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DE5BBC7B-EE6C-45BA-BB54-1EA95C28FB9E}"/>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57B34572-12EF-4777-BB8D-63A884C9C09D}"/>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DA584FAA-F9D2-4842-9CAA-460B8F1D8B84}"/>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5F2A56CE-0948-4AFE-BFEE-60180661E9D9}"/>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B7E58722-E6B7-4E4F-A142-E4A96D987F2C}"/>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58764-865B-4AC7-9DD2-FC0490555449}">
  <sheetPr codeName="Sheet11">
    <tabColor rgb="FF339966"/>
  </sheetPr>
  <dimension ref="A2:P349"/>
  <sheetViews>
    <sheetView showGridLines="0" tabSelected="1" zoomScale="80" zoomScaleNormal="80" workbookViewId="0">
      <selection activeCell="B1" sqref="B1"/>
    </sheetView>
  </sheetViews>
  <sheetFormatPr defaultColWidth="10.26953125" defaultRowHeight="14.5" outlineLevelRow="4" x14ac:dyDescent="0.35"/>
  <cols>
    <col min="1" max="1" width="0.81640625" style="3" customWidth="1"/>
    <col min="2" max="2" width="3.453125" style="3" bestFit="1" customWidth="1"/>
    <col min="3" max="3" width="42.453125" style="3" customWidth="1"/>
    <col min="4" max="4" width="66.81640625" style="3" customWidth="1"/>
    <col min="5" max="5" width="103.54296875" style="3" customWidth="1"/>
    <col min="6" max="6" width="33" style="3" customWidth="1"/>
    <col min="7" max="7" width="31.7265625" style="3" customWidth="1"/>
    <col min="8" max="10" width="10.26953125" style="3"/>
    <col min="11" max="11" width="10.26953125" style="3" customWidth="1"/>
    <col min="12" max="16384" width="10.26953125" style="3"/>
  </cols>
  <sheetData>
    <row r="2" spans="2:16" ht="23.5" x14ac:dyDescent="0.55000000000000004">
      <c r="B2" s="2" t="s">
        <v>523</v>
      </c>
    </row>
    <row r="3" spans="2:16" ht="21" x14ac:dyDescent="0.5">
      <c r="B3" s="4"/>
    </row>
    <row r="4" spans="2:16" ht="19" thickBot="1" x14ac:dyDescent="0.5">
      <c r="B4" s="276" t="s">
        <v>0</v>
      </c>
      <c r="C4" s="5"/>
      <c r="D4" s="6"/>
      <c r="E4" s="5"/>
      <c r="F4" s="5"/>
      <c r="G4" s="5"/>
      <c r="H4" s="5"/>
      <c r="I4" s="5"/>
      <c r="J4" s="5"/>
      <c r="K4" s="5"/>
      <c r="L4" s="5"/>
      <c r="M4" s="5"/>
      <c r="N4" s="5"/>
      <c r="O4" s="5"/>
      <c r="P4" s="5"/>
    </row>
    <row r="5" spans="2:16" x14ac:dyDescent="0.35">
      <c r="B5" s="7"/>
      <c r="D5" s="8"/>
    </row>
    <row r="6" spans="2:16" x14ac:dyDescent="0.35">
      <c r="B6" s="3">
        <v>1</v>
      </c>
      <c r="C6" s="9" t="s">
        <v>528</v>
      </c>
    </row>
    <row r="7" spans="2:16" x14ac:dyDescent="0.35">
      <c r="B7" s="3">
        <v>2</v>
      </c>
      <c r="C7" s="9" t="s">
        <v>679</v>
      </c>
    </row>
    <row r="8" spans="2:16" x14ac:dyDescent="0.35">
      <c r="B8" s="10" t="s">
        <v>1</v>
      </c>
      <c r="C8" s="9" t="s">
        <v>524</v>
      </c>
    </row>
    <row r="9" spans="2:16" x14ac:dyDescent="0.35">
      <c r="B9" s="10" t="s">
        <v>1</v>
      </c>
      <c r="C9" s="9" t="s">
        <v>529</v>
      </c>
    </row>
    <row r="10" spans="2:16" x14ac:dyDescent="0.35">
      <c r="B10" s="10" t="s">
        <v>1</v>
      </c>
      <c r="C10" s="9" t="s">
        <v>680</v>
      </c>
    </row>
    <row r="11" spans="2:16" x14ac:dyDescent="0.35">
      <c r="B11" s="10" t="s">
        <v>1</v>
      </c>
      <c r="C11" s="9" t="s">
        <v>530</v>
      </c>
    </row>
    <row r="12" spans="2:16" x14ac:dyDescent="0.35">
      <c r="B12" s="10" t="s">
        <v>1</v>
      </c>
      <c r="C12" s="9" t="s">
        <v>531</v>
      </c>
    </row>
    <row r="13" spans="2:16" x14ac:dyDescent="0.35">
      <c r="B13" s="3">
        <v>3</v>
      </c>
      <c r="C13" s="9" t="s">
        <v>681</v>
      </c>
    </row>
    <row r="14" spans="2:16" x14ac:dyDescent="0.35">
      <c r="B14" s="3">
        <v>4</v>
      </c>
      <c r="C14" s="3" t="s">
        <v>2</v>
      </c>
    </row>
    <row r="15" spans="2:16" x14ac:dyDescent="0.35">
      <c r="B15" s="3">
        <v>5</v>
      </c>
      <c r="C15" s="3" t="s">
        <v>682</v>
      </c>
    </row>
    <row r="16" spans="2:16" x14ac:dyDescent="0.35">
      <c r="B16" s="3">
        <v>6</v>
      </c>
      <c r="C16" s="3" t="s">
        <v>1219</v>
      </c>
    </row>
    <row r="18" spans="1:16" ht="19" thickBot="1" x14ac:dyDescent="0.5">
      <c r="B18" s="276" t="s">
        <v>3</v>
      </c>
      <c r="C18" s="5"/>
      <c r="D18" s="6"/>
      <c r="E18" s="5"/>
      <c r="F18" s="5"/>
      <c r="G18" s="5"/>
      <c r="H18" s="5"/>
      <c r="I18" s="5"/>
      <c r="J18" s="5"/>
      <c r="K18" s="5"/>
      <c r="L18" s="5"/>
      <c r="M18" s="5"/>
      <c r="N18" s="5"/>
      <c r="O18" s="5"/>
      <c r="P18" s="5"/>
    </row>
    <row r="20" spans="1:16" x14ac:dyDescent="0.35">
      <c r="B20" s="3">
        <v>1</v>
      </c>
      <c r="C20" s="3" t="s">
        <v>4</v>
      </c>
    </row>
    <row r="21" spans="1:16" x14ac:dyDescent="0.35">
      <c r="C21" s="11" t="s">
        <v>5</v>
      </c>
    </row>
    <row r="22" spans="1:16" x14ac:dyDescent="0.35">
      <c r="C22" s="11" t="s">
        <v>683</v>
      </c>
    </row>
    <row r="23" spans="1:16" x14ac:dyDescent="0.35">
      <c r="C23" s="11" t="s">
        <v>684</v>
      </c>
    </row>
    <row r="24" spans="1:16" x14ac:dyDescent="0.35">
      <c r="C24" s="11" t="s">
        <v>685</v>
      </c>
    </row>
    <row r="25" spans="1:16" x14ac:dyDescent="0.35">
      <c r="B25" s="3">
        <v>2</v>
      </c>
      <c r="C25" s="3" t="s">
        <v>686</v>
      </c>
    </row>
    <row r="26" spans="1:16" x14ac:dyDescent="0.35">
      <c r="B26" s="3">
        <v>3</v>
      </c>
      <c r="C26" s="3" t="s">
        <v>687</v>
      </c>
    </row>
    <row r="28" spans="1:16" s="264" customFormat="1" ht="16" x14ac:dyDescent="0.4">
      <c r="A28" s="291"/>
      <c r="B28" s="291"/>
      <c r="C28" s="265" t="s">
        <v>6</v>
      </c>
      <c r="D28" s="266" t="s">
        <v>7</v>
      </c>
    </row>
    <row r="30" spans="1:16" x14ac:dyDescent="0.35">
      <c r="C30" s="3" t="s">
        <v>8</v>
      </c>
    </row>
    <row r="31" spans="1:16" outlineLevel="1" x14ac:dyDescent="0.35"/>
    <row r="32" spans="1:16" outlineLevel="1" x14ac:dyDescent="0.35">
      <c r="C32" s="12" t="s">
        <v>9</v>
      </c>
      <c r="D32" s="13" t="s">
        <v>10</v>
      </c>
    </row>
    <row r="33" spans="3:4" ht="58" outlineLevel="1" x14ac:dyDescent="0.35">
      <c r="C33" s="14" t="s">
        <v>11</v>
      </c>
      <c r="D33" s="15" t="s">
        <v>688</v>
      </c>
    </row>
    <row r="34" spans="3:4" outlineLevel="1" x14ac:dyDescent="0.35">
      <c r="C34" s="14" t="s">
        <v>127</v>
      </c>
      <c r="D34" s="15" t="s">
        <v>134</v>
      </c>
    </row>
    <row r="35" spans="3:4" outlineLevel="1" x14ac:dyDescent="0.35">
      <c r="C35" s="14" t="s">
        <v>689</v>
      </c>
      <c r="D35" s="15" t="s">
        <v>690</v>
      </c>
    </row>
    <row r="36" spans="3:4" outlineLevel="1" x14ac:dyDescent="0.35"/>
    <row r="37" spans="3:4" ht="33" customHeight="1" outlineLevel="1" x14ac:dyDescent="0.35">
      <c r="C37" s="16" t="s">
        <v>691</v>
      </c>
      <c r="D37" s="16" t="s">
        <v>692</v>
      </c>
    </row>
    <row r="38" spans="3:4" outlineLevel="2" x14ac:dyDescent="0.35">
      <c r="C38" s="17" t="s">
        <v>693</v>
      </c>
      <c r="D38" s="17" t="s">
        <v>689</v>
      </c>
    </row>
    <row r="39" spans="3:4" outlineLevel="2" x14ac:dyDescent="0.35">
      <c r="C39" s="18" t="s">
        <v>604</v>
      </c>
      <c r="D39" s="18" t="s">
        <v>404</v>
      </c>
    </row>
    <row r="40" spans="3:4" outlineLevel="2" x14ac:dyDescent="0.35">
      <c r="C40" s="18" t="s">
        <v>604</v>
      </c>
      <c r="D40" s="18" t="s">
        <v>400</v>
      </c>
    </row>
    <row r="41" spans="3:4" outlineLevel="2" x14ac:dyDescent="0.35">
      <c r="C41" s="18" t="s">
        <v>604</v>
      </c>
      <c r="D41" s="18" t="s">
        <v>401</v>
      </c>
    </row>
    <row r="42" spans="3:4" outlineLevel="2" x14ac:dyDescent="0.35">
      <c r="C42" s="18" t="s">
        <v>605</v>
      </c>
      <c r="D42" s="18" t="s">
        <v>694</v>
      </c>
    </row>
    <row r="43" spans="3:4" outlineLevel="2" x14ac:dyDescent="0.35">
      <c r="C43" s="18" t="s">
        <v>605</v>
      </c>
      <c r="D43" s="18" t="s">
        <v>695</v>
      </c>
    </row>
    <row r="44" spans="3:4" outlineLevel="2" x14ac:dyDescent="0.35">
      <c r="C44" s="18" t="s">
        <v>605</v>
      </c>
      <c r="D44" s="18" t="s">
        <v>380</v>
      </c>
    </row>
    <row r="45" spans="3:4" outlineLevel="2" x14ac:dyDescent="0.35">
      <c r="C45" s="18" t="s">
        <v>605</v>
      </c>
      <c r="D45" s="18" t="s">
        <v>442</v>
      </c>
    </row>
    <row r="46" spans="3:4" outlineLevel="2" x14ac:dyDescent="0.35">
      <c r="C46" s="18" t="s">
        <v>605</v>
      </c>
      <c r="D46" s="18" t="s">
        <v>406</v>
      </c>
    </row>
    <row r="47" spans="3:4" outlineLevel="2" x14ac:dyDescent="0.35">
      <c r="C47" s="13" t="s">
        <v>696</v>
      </c>
      <c r="D47" s="13" t="s">
        <v>22</v>
      </c>
    </row>
    <row r="48" spans="3:4" outlineLevel="2" x14ac:dyDescent="0.35">
      <c r="C48" s="13" t="s">
        <v>696</v>
      </c>
      <c r="D48" s="13" t="s">
        <v>21</v>
      </c>
    </row>
    <row r="49" spans="3:4" outlineLevel="2" x14ac:dyDescent="0.35">
      <c r="C49" s="13" t="s">
        <v>16</v>
      </c>
      <c r="D49" s="13" t="s">
        <v>180</v>
      </c>
    </row>
    <row r="50" spans="3:4" outlineLevel="2" x14ac:dyDescent="0.35">
      <c r="C50" s="13" t="str">
        <f>C49</f>
        <v>HSE</v>
      </c>
      <c r="D50" s="13" t="s">
        <v>181</v>
      </c>
    </row>
    <row r="51" spans="3:4" outlineLevel="2" x14ac:dyDescent="0.35">
      <c r="C51" s="13" t="s">
        <v>328</v>
      </c>
      <c r="D51" s="13" t="s">
        <v>128</v>
      </c>
    </row>
    <row r="52" spans="3:4" outlineLevel="2" x14ac:dyDescent="0.35">
      <c r="C52" s="13" t="s">
        <v>328</v>
      </c>
      <c r="D52" s="13" t="s">
        <v>24</v>
      </c>
    </row>
    <row r="53" spans="3:4" outlineLevel="2" x14ac:dyDescent="0.35">
      <c r="C53" s="13" t="s">
        <v>602</v>
      </c>
      <c r="D53" s="13" t="s">
        <v>135</v>
      </c>
    </row>
    <row r="54" spans="3:4" outlineLevel="2" x14ac:dyDescent="0.35">
      <c r="C54" s="13" t="s">
        <v>602</v>
      </c>
      <c r="D54" s="13" t="s">
        <v>17</v>
      </c>
    </row>
    <row r="55" spans="3:4" outlineLevel="2" x14ac:dyDescent="0.35">
      <c r="C55" s="13" t="s">
        <v>602</v>
      </c>
      <c r="D55" s="13" t="s">
        <v>14</v>
      </c>
    </row>
    <row r="56" spans="3:4" outlineLevel="2" x14ac:dyDescent="0.35">
      <c r="C56" s="13" t="s">
        <v>602</v>
      </c>
      <c r="D56" s="13" t="s">
        <v>15</v>
      </c>
    </row>
    <row r="57" spans="3:4" outlineLevel="2" x14ac:dyDescent="0.35">
      <c r="C57" s="13" t="s">
        <v>602</v>
      </c>
      <c r="D57" s="13" t="s">
        <v>619</v>
      </c>
    </row>
    <row r="58" spans="3:4" outlineLevel="2" x14ac:dyDescent="0.35">
      <c r="C58" s="13" t="s">
        <v>602</v>
      </c>
      <c r="D58" s="13" t="s">
        <v>1220</v>
      </c>
    </row>
    <row r="59" spans="3:4" outlineLevel="2" x14ac:dyDescent="0.35">
      <c r="C59" s="13" t="s">
        <v>603</v>
      </c>
      <c r="D59" s="13" t="s">
        <v>612</v>
      </c>
    </row>
    <row r="60" spans="3:4" outlineLevel="2" x14ac:dyDescent="0.35">
      <c r="C60" s="13" t="s">
        <v>603</v>
      </c>
      <c r="D60" s="13" t="s">
        <v>1190</v>
      </c>
    </row>
    <row r="61" spans="3:4" outlineLevel="2" x14ac:dyDescent="0.35">
      <c r="C61" s="13" t="s">
        <v>603</v>
      </c>
      <c r="D61" s="13" t="s">
        <v>1191</v>
      </c>
    </row>
    <row r="62" spans="3:4" outlineLevel="2" x14ac:dyDescent="0.35">
      <c r="C62" s="13" t="s">
        <v>1192</v>
      </c>
      <c r="D62" s="13" t="s">
        <v>905</v>
      </c>
    </row>
    <row r="63" spans="3:4" outlineLevel="2" x14ac:dyDescent="0.35">
      <c r="C63" s="13" t="s">
        <v>1192</v>
      </c>
      <c r="D63" s="13" t="s">
        <v>331</v>
      </c>
    </row>
    <row r="64" spans="3:4" outlineLevel="2" x14ac:dyDescent="0.35">
      <c r="C64" s="13" t="s">
        <v>129</v>
      </c>
      <c r="D64" s="13" t="s">
        <v>1221</v>
      </c>
    </row>
    <row r="65" spans="1:4" outlineLevel="2" x14ac:dyDescent="0.35">
      <c r="C65" s="13" t="s">
        <v>129</v>
      </c>
      <c r="D65" s="13" t="s">
        <v>697</v>
      </c>
    </row>
    <row r="66" spans="1:4" outlineLevel="2" x14ac:dyDescent="0.35">
      <c r="C66" s="13" t="s">
        <v>129</v>
      </c>
      <c r="D66" s="13" t="s">
        <v>1222</v>
      </c>
    </row>
    <row r="67" spans="1:4" outlineLevel="2" x14ac:dyDescent="0.35">
      <c r="C67" s="13" t="s">
        <v>329</v>
      </c>
      <c r="D67" s="13" t="s">
        <v>1166</v>
      </c>
    </row>
    <row r="68" spans="1:4" outlineLevel="2" x14ac:dyDescent="0.35">
      <c r="C68" s="13" t="s">
        <v>329</v>
      </c>
      <c r="D68" s="13" t="s">
        <v>18</v>
      </c>
    </row>
    <row r="69" spans="1:4" outlineLevel="2" x14ac:dyDescent="0.35">
      <c r="C69" s="13" t="s">
        <v>329</v>
      </c>
      <c r="D69" s="13" t="s">
        <v>19</v>
      </c>
    </row>
    <row r="70" spans="1:4" outlineLevel="2" x14ac:dyDescent="0.35">
      <c r="C70" s="13" t="s">
        <v>329</v>
      </c>
      <c r="D70" s="13" t="s">
        <v>20</v>
      </c>
    </row>
    <row r="71" spans="1:4" outlineLevel="2" x14ac:dyDescent="0.35">
      <c r="C71" s="19" t="s">
        <v>131</v>
      </c>
      <c r="D71" s="13" t="s">
        <v>330</v>
      </c>
    </row>
    <row r="72" spans="1:4" outlineLevel="2" x14ac:dyDescent="0.35">
      <c r="C72" s="13" t="s">
        <v>131</v>
      </c>
      <c r="D72" s="13" t="s">
        <v>25</v>
      </c>
    </row>
    <row r="73" spans="1:4" outlineLevel="2" x14ac:dyDescent="0.35">
      <c r="C73" s="13" t="s">
        <v>131</v>
      </c>
      <c r="D73" s="13" t="s">
        <v>26</v>
      </c>
    </row>
    <row r="74" spans="1:4" outlineLevel="1" x14ac:dyDescent="0.35"/>
    <row r="75" spans="1:4" outlineLevel="1" x14ac:dyDescent="0.35">
      <c r="C75" s="3" t="s">
        <v>27</v>
      </c>
    </row>
    <row r="77" spans="1:4" s="264" customFormat="1" ht="16" x14ac:dyDescent="0.4">
      <c r="A77" s="291"/>
      <c r="B77" s="291"/>
      <c r="C77" s="265" t="s">
        <v>512</v>
      </c>
      <c r="D77" s="292" t="s">
        <v>1193</v>
      </c>
    </row>
    <row r="79" spans="1:4" x14ac:dyDescent="0.35">
      <c r="C79" s="3" t="s">
        <v>698</v>
      </c>
    </row>
    <row r="80" spans="1:4" x14ac:dyDescent="0.35">
      <c r="C80" s="262" t="s">
        <v>699</v>
      </c>
      <c r="D80" s="20"/>
    </row>
    <row r="81" spans="3:4" outlineLevel="1" x14ac:dyDescent="0.35">
      <c r="C81" s="3" t="s">
        <v>408</v>
      </c>
    </row>
    <row r="82" spans="3:4" outlineLevel="1" x14ac:dyDescent="0.35">
      <c r="C82" s="3" t="s">
        <v>700</v>
      </c>
    </row>
    <row r="83" spans="3:4" outlineLevel="1" x14ac:dyDescent="0.35"/>
    <row r="84" spans="3:4" outlineLevel="1" x14ac:dyDescent="0.35">
      <c r="C84" s="17" t="s">
        <v>701</v>
      </c>
      <c r="D84" s="17" t="s">
        <v>702</v>
      </c>
    </row>
    <row r="85" spans="3:4" ht="58" outlineLevel="1" x14ac:dyDescent="0.35">
      <c r="C85" s="21" t="s">
        <v>409</v>
      </c>
      <c r="D85" s="22" t="s">
        <v>703</v>
      </c>
    </row>
    <row r="86" spans="3:4" ht="43.5" outlineLevel="1" x14ac:dyDescent="0.35">
      <c r="C86" s="21" t="s">
        <v>225</v>
      </c>
      <c r="D86" s="23" t="s">
        <v>704</v>
      </c>
    </row>
    <row r="87" spans="3:4" ht="72.5" outlineLevel="1" x14ac:dyDescent="0.35">
      <c r="C87" s="24" t="s">
        <v>410</v>
      </c>
      <c r="D87" s="25" t="s">
        <v>411</v>
      </c>
    </row>
    <row r="88" spans="3:4" ht="48" customHeight="1" outlineLevel="1" x14ac:dyDescent="0.35">
      <c r="C88" s="26" t="s">
        <v>412</v>
      </c>
      <c r="D88" s="27" t="s">
        <v>705</v>
      </c>
    </row>
    <row r="89" spans="3:4" ht="153.75" customHeight="1" outlineLevel="1" x14ac:dyDescent="0.35">
      <c r="C89" s="28"/>
      <c r="D89" s="29" t="e" vm="1">
        <v>#VALUE!</v>
      </c>
    </row>
    <row r="90" spans="3:4" ht="58" outlineLevel="1" x14ac:dyDescent="0.35">
      <c r="C90" s="30" t="s">
        <v>525</v>
      </c>
      <c r="D90" s="31" t="s">
        <v>706</v>
      </c>
    </row>
    <row r="91" spans="3:4" outlineLevel="1" x14ac:dyDescent="0.35">
      <c r="C91" s="32" t="s">
        <v>707</v>
      </c>
      <c r="D91" s="33" t="s">
        <v>708</v>
      </c>
    </row>
    <row r="92" spans="3:4" outlineLevel="1" x14ac:dyDescent="0.35">
      <c r="C92" s="32" t="s">
        <v>709</v>
      </c>
      <c r="D92" s="33" t="s">
        <v>710</v>
      </c>
    </row>
    <row r="93" spans="3:4" outlineLevel="1" x14ac:dyDescent="0.35">
      <c r="C93" s="32" t="s">
        <v>1235</v>
      </c>
      <c r="D93" s="33" t="s">
        <v>711</v>
      </c>
    </row>
    <row r="94" spans="3:4" ht="87" outlineLevel="1" x14ac:dyDescent="0.35">
      <c r="C94" s="34" t="s">
        <v>334</v>
      </c>
      <c r="D94" s="23" t="s">
        <v>712</v>
      </c>
    </row>
    <row r="95" spans="3:4" outlineLevel="1" x14ac:dyDescent="0.35">
      <c r="C95" s="34" t="s">
        <v>335</v>
      </c>
      <c r="D95" s="35" t="s">
        <v>413</v>
      </c>
    </row>
    <row r="96" spans="3:4" outlineLevel="1" x14ac:dyDescent="0.35">
      <c r="C96" s="34" t="s">
        <v>513</v>
      </c>
      <c r="D96" s="35" t="s">
        <v>713</v>
      </c>
    </row>
    <row r="97" spans="3:6" outlineLevel="1" x14ac:dyDescent="0.35">
      <c r="C97" s="34" t="s">
        <v>441</v>
      </c>
      <c r="D97" s="35" t="s">
        <v>514</v>
      </c>
    </row>
    <row r="98" spans="3:6" outlineLevel="1" x14ac:dyDescent="0.35">
      <c r="C98" s="34" t="s">
        <v>427</v>
      </c>
      <c r="D98" s="35" t="s">
        <v>714</v>
      </c>
    </row>
    <row r="99" spans="3:6" outlineLevel="1" x14ac:dyDescent="0.35">
      <c r="C99" s="34" t="s">
        <v>715</v>
      </c>
      <c r="D99" s="35" t="s">
        <v>414</v>
      </c>
    </row>
    <row r="100" spans="3:6" outlineLevel="1" x14ac:dyDescent="0.35">
      <c r="C100" s="34" t="s">
        <v>716</v>
      </c>
      <c r="D100" s="35" t="s">
        <v>415</v>
      </c>
    </row>
    <row r="101" spans="3:6" outlineLevel="1" x14ac:dyDescent="0.35">
      <c r="C101" s="36" t="s">
        <v>717</v>
      </c>
      <c r="D101" s="35" t="s">
        <v>718</v>
      </c>
    </row>
    <row r="102" spans="3:6" outlineLevel="1" x14ac:dyDescent="0.35">
      <c r="C102" s="34" t="s">
        <v>518</v>
      </c>
      <c r="D102" s="35" t="s">
        <v>519</v>
      </c>
    </row>
    <row r="103" spans="3:6" outlineLevel="1" x14ac:dyDescent="0.35"/>
    <row r="104" spans="3:6" outlineLevel="1" x14ac:dyDescent="0.35">
      <c r="C104" s="37" t="s">
        <v>416</v>
      </c>
    </row>
    <row r="105" spans="3:6" outlineLevel="2" x14ac:dyDescent="0.35">
      <c r="C105" s="38" t="s">
        <v>29</v>
      </c>
      <c r="D105" s="17" t="s">
        <v>30</v>
      </c>
      <c r="E105" s="39" t="s">
        <v>719</v>
      </c>
      <c r="F105" s="40"/>
    </row>
    <row r="106" spans="3:6" outlineLevel="2" x14ac:dyDescent="0.35">
      <c r="C106" s="41" t="s">
        <v>398</v>
      </c>
      <c r="D106" s="42"/>
      <c r="E106" s="43"/>
      <c r="F106" s="44"/>
    </row>
    <row r="107" spans="3:6" outlineLevel="2" x14ac:dyDescent="0.35">
      <c r="C107" s="45">
        <v>15000000</v>
      </c>
      <c r="D107" s="46" t="s">
        <v>383</v>
      </c>
      <c r="E107" s="47" t="s">
        <v>720</v>
      </c>
      <c r="F107" s="48"/>
    </row>
    <row r="108" spans="3:6" ht="29" outlineLevel="2" x14ac:dyDescent="0.35">
      <c r="C108" s="49">
        <v>15000010</v>
      </c>
      <c r="D108" s="50" t="s">
        <v>384</v>
      </c>
      <c r="E108" s="51" t="s">
        <v>721</v>
      </c>
      <c r="F108" s="52"/>
    </row>
    <row r="109" spans="3:6" ht="29" outlineLevel="2" x14ac:dyDescent="0.35">
      <c r="C109" s="49">
        <v>15000020</v>
      </c>
      <c r="D109" s="50" t="s">
        <v>385</v>
      </c>
      <c r="E109" s="51" t="s">
        <v>722</v>
      </c>
      <c r="F109" s="52"/>
    </row>
    <row r="110" spans="3:6" outlineLevel="2" x14ac:dyDescent="0.35">
      <c r="C110" s="49">
        <v>15000030</v>
      </c>
      <c r="D110" s="50" t="s">
        <v>386</v>
      </c>
      <c r="E110" s="51" t="s">
        <v>723</v>
      </c>
      <c r="F110" s="52"/>
    </row>
    <row r="111" spans="3:6" outlineLevel="2" x14ac:dyDescent="0.35">
      <c r="C111" s="49">
        <v>15000040</v>
      </c>
      <c r="D111" s="50" t="s">
        <v>387</v>
      </c>
      <c r="E111" s="51" t="s">
        <v>724</v>
      </c>
      <c r="F111" s="52"/>
    </row>
    <row r="112" spans="3:6" outlineLevel="2" x14ac:dyDescent="0.35">
      <c r="C112" s="49">
        <v>15000050</v>
      </c>
      <c r="D112" s="50" t="s">
        <v>388</v>
      </c>
      <c r="E112" s="51" t="s">
        <v>725</v>
      </c>
      <c r="F112" s="52"/>
    </row>
    <row r="113" spans="1:6" outlineLevel="2" x14ac:dyDescent="0.35">
      <c r="C113" s="49">
        <v>15000060</v>
      </c>
      <c r="D113" s="50" t="s">
        <v>389</v>
      </c>
      <c r="E113" s="51" t="s">
        <v>726</v>
      </c>
      <c r="F113" s="52"/>
    </row>
    <row r="114" spans="1:6" outlineLevel="2" x14ac:dyDescent="0.35">
      <c r="C114" s="53">
        <v>15000070</v>
      </c>
      <c r="D114" s="54" t="s">
        <v>390</v>
      </c>
      <c r="E114" s="55" t="s">
        <v>727</v>
      </c>
      <c r="F114" s="52"/>
    </row>
    <row r="115" spans="1:6" outlineLevel="2" x14ac:dyDescent="0.35">
      <c r="C115" s="53">
        <v>15000080</v>
      </c>
      <c r="D115" s="54" t="s">
        <v>391</v>
      </c>
      <c r="E115" s="55" t="s">
        <v>728</v>
      </c>
      <c r="F115" s="52"/>
    </row>
    <row r="116" spans="1:6" outlineLevel="2" x14ac:dyDescent="0.35">
      <c r="C116" s="53">
        <v>15200000</v>
      </c>
      <c r="D116" s="54" t="s">
        <v>392</v>
      </c>
      <c r="E116" s="55" t="s">
        <v>729</v>
      </c>
      <c r="F116" s="48"/>
    </row>
    <row r="117" spans="1:6" outlineLevel="2" x14ac:dyDescent="0.35">
      <c r="C117" s="56" t="s">
        <v>730</v>
      </c>
      <c r="D117" s="57"/>
      <c r="E117" s="58"/>
      <c r="F117" s="44"/>
    </row>
    <row r="118" spans="1:6" ht="29" outlineLevel="2" x14ac:dyDescent="0.35">
      <c r="C118" s="53">
        <v>15020010</v>
      </c>
      <c r="D118" s="54" t="s">
        <v>393</v>
      </c>
      <c r="E118" s="55" t="s">
        <v>731</v>
      </c>
      <c r="F118" s="52"/>
    </row>
    <row r="119" spans="1:6" ht="29" outlineLevel="2" x14ac:dyDescent="0.35">
      <c r="C119" s="53">
        <v>15020020</v>
      </c>
      <c r="D119" s="54" t="s">
        <v>394</v>
      </c>
      <c r="E119" s="55" t="s">
        <v>732</v>
      </c>
      <c r="F119" s="52"/>
    </row>
    <row r="120" spans="1:6" outlineLevel="2" x14ac:dyDescent="0.35">
      <c r="C120" s="53">
        <v>15020030</v>
      </c>
      <c r="D120" s="54" t="s">
        <v>395</v>
      </c>
      <c r="E120" s="55" t="s">
        <v>733</v>
      </c>
      <c r="F120" s="52"/>
    </row>
    <row r="121" spans="1:6" outlineLevel="2" x14ac:dyDescent="0.35">
      <c r="C121" s="53">
        <v>15020040</v>
      </c>
      <c r="D121" s="54" t="s">
        <v>396</v>
      </c>
      <c r="E121" s="55" t="s">
        <v>734</v>
      </c>
      <c r="F121" s="52"/>
    </row>
    <row r="122" spans="1:6" outlineLevel="2" x14ac:dyDescent="0.35">
      <c r="C122" s="53">
        <v>15020080</v>
      </c>
      <c r="D122" s="54" t="s">
        <v>397</v>
      </c>
      <c r="E122" s="55" t="s">
        <v>735</v>
      </c>
      <c r="F122" s="52"/>
    </row>
    <row r="123" spans="1:6" ht="29" outlineLevel="2" x14ac:dyDescent="0.35">
      <c r="C123" s="59">
        <v>15020090</v>
      </c>
      <c r="D123" s="60" t="s">
        <v>417</v>
      </c>
      <c r="E123" s="61" t="s">
        <v>736</v>
      </c>
      <c r="F123" s="52"/>
    </row>
    <row r="124" spans="1:6" outlineLevel="2" x14ac:dyDescent="0.35">
      <c r="C124" s="267"/>
      <c r="D124" s="48"/>
      <c r="E124" s="52"/>
      <c r="F124" s="52"/>
    </row>
    <row r="125" spans="1:6" s="270" customFormat="1" ht="16" x14ac:dyDescent="0.4">
      <c r="A125" s="293"/>
      <c r="B125" s="293"/>
      <c r="C125" s="268" t="s">
        <v>1198</v>
      </c>
      <c r="D125" s="269" t="s">
        <v>318</v>
      </c>
    </row>
    <row r="127" spans="1:6" outlineLevel="1" x14ac:dyDescent="0.35">
      <c r="C127" s="3" t="s">
        <v>31</v>
      </c>
    </row>
    <row r="128" spans="1:6" outlineLevel="1" x14ac:dyDescent="0.35">
      <c r="C128" s="3" t="s">
        <v>526</v>
      </c>
    </row>
    <row r="129" spans="3:6" outlineLevel="1" x14ac:dyDescent="0.35">
      <c r="C129" s="3" t="s">
        <v>700</v>
      </c>
    </row>
    <row r="130" spans="3:6" outlineLevel="1" x14ac:dyDescent="0.35"/>
    <row r="131" spans="3:6" outlineLevel="1" x14ac:dyDescent="0.35">
      <c r="C131" s="277" t="s">
        <v>1199</v>
      </c>
      <c r="D131" s="277"/>
      <c r="E131" s="277" t="s">
        <v>1200</v>
      </c>
      <c r="F131" s="277"/>
    </row>
    <row r="132" spans="3:6" ht="58" outlineLevel="1" x14ac:dyDescent="0.35">
      <c r="C132" s="62" t="s">
        <v>259</v>
      </c>
      <c r="D132" s="63" t="s">
        <v>737</v>
      </c>
      <c r="E132" s="62" t="s">
        <v>399</v>
      </c>
      <c r="F132" s="63" t="s">
        <v>1201</v>
      </c>
    </row>
    <row r="133" spans="3:6" ht="49.5" customHeight="1" outlineLevel="1" x14ac:dyDescent="0.35">
      <c r="C133" s="62" t="s">
        <v>263</v>
      </c>
      <c r="D133" s="63" t="s">
        <v>738</v>
      </c>
      <c r="E133" s="294"/>
      <c r="F133" s="295"/>
    </row>
    <row r="134" spans="3:6" ht="58" outlineLevel="1" x14ac:dyDescent="0.35">
      <c r="C134" s="64" t="s">
        <v>534</v>
      </c>
      <c r="D134" s="65" t="s">
        <v>739</v>
      </c>
      <c r="E134" s="296"/>
      <c r="F134" s="295"/>
    </row>
    <row r="135" spans="3:6" ht="43.5" outlineLevel="1" x14ac:dyDescent="0.35">
      <c r="C135" s="64" t="s">
        <v>740</v>
      </c>
      <c r="D135" s="65" t="s">
        <v>741</v>
      </c>
      <c r="E135" s="64" t="s">
        <v>740</v>
      </c>
      <c r="F135" s="65" t="s">
        <v>741</v>
      </c>
    </row>
    <row r="136" spans="3:6" ht="87" outlineLevel="1" x14ac:dyDescent="0.35">
      <c r="C136" s="62" t="s">
        <v>525</v>
      </c>
      <c r="D136" s="63" t="s">
        <v>742</v>
      </c>
      <c r="E136" s="62" t="s">
        <v>525</v>
      </c>
      <c r="F136" s="63" t="s">
        <v>742</v>
      </c>
    </row>
    <row r="137" spans="3:6" ht="43.5" outlineLevel="1" x14ac:dyDescent="0.35">
      <c r="C137" s="62" t="s">
        <v>535</v>
      </c>
      <c r="D137" s="63" t="s">
        <v>743</v>
      </c>
      <c r="E137" s="62" t="s">
        <v>535</v>
      </c>
      <c r="F137" s="63" t="s">
        <v>743</v>
      </c>
    </row>
    <row r="138" spans="3:6" ht="130.5" outlineLevel="1" x14ac:dyDescent="0.35">
      <c r="C138" s="66" t="s">
        <v>312</v>
      </c>
      <c r="D138" s="63" t="s">
        <v>744</v>
      </c>
      <c r="E138" s="66" t="s">
        <v>312</v>
      </c>
      <c r="F138" s="63" t="s">
        <v>744</v>
      </c>
    </row>
    <row r="139" spans="3:6" ht="130.5" outlineLevel="1" x14ac:dyDescent="0.35">
      <c r="C139" s="66" t="s">
        <v>313</v>
      </c>
      <c r="D139" s="67" t="s">
        <v>745</v>
      </c>
      <c r="E139" s="66" t="s">
        <v>313</v>
      </c>
      <c r="F139" s="67" t="s">
        <v>745</v>
      </c>
    </row>
    <row r="140" spans="3:6" ht="29" outlineLevel="1" x14ac:dyDescent="0.35">
      <c r="C140" s="66" t="s">
        <v>314</v>
      </c>
      <c r="D140" s="67" t="s">
        <v>746</v>
      </c>
      <c r="E140" s="66" t="s">
        <v>314</v>
      </c>
      <c r="F140" s="67" t="s">
        <v>746</v>
      </c>
    </row>
    <row r="141" spans="3:6" ht="58" outlineLevel="1" x14ac:dyDescent="0.35">
      <c r="C141" s="66" t="s">
        <v>316</v>
      </c>
      <c r="D141" s="67" t="s">
        <v>747</v>
      </c>
      <c r="E141" s="66" t="s">
        <v>316</v>
      </c>
      <c r="F141" s="67" t="s">
        <v>747</v>
      </c>
    </row>
    <row r="142" spans="3:6" ht="29" outlineLevel="1" x14ac:dyDescent="0.35">
      <c r="C142" s="66" t="s">
        <v>226</v>
      </c>
      <c r="D142" s="67" t="s">
        <v>748</v>
      </c>
      <c r="E142" s="66" t="s">
        <v>226</v>
      </c>
      <c r="F142" s="67" t="s">
        <v>748</v>
      </c>
    </row>
    <row r="143" spans="3:6" ht="43.5" outlineLevel="1" x14ac:dyDescent="0.35">
      <c r="C143" s="66" t="s">
        <v>315</v>
      </c>
      <c r="D143" s="67" t="s">
        <v>749</v>
      </c>
      <c r="E143" s="66" t="s">
        <v>315</v>
      </c>
      <c r="F143" s="67" t="s">
        <v>749</v>
      </c>
    </row>
    <row r="144" spans="3:6" ht="43.5" outlineLevel="1" x14ac:dyDescent="0.35">
      <c r="C144" s="66" t="s">
        <v>671</v>
      </c>
      <c r="D144" s="67" t="s">
        <v>750</v>
      </c>
      <c r="E144" s="66" t="s">
        <v>671</v>
      </c>
      <c r="F144" s="67" t="s">
        <v>750</v>
      </c>
    </row>
    <row r="145" spans="3:7" outlineLevel="1" x14ac:dyDescent="0.35"/>
    <row r="147" spans="3:7" x14ac:dyDescent="0.35">
      <c r="C147" s="37" t="s">
        <v>761</v>
      </c>
    </row>
    <row r="148" spans="3:7" hidden="1" outlineLevel="2" x14ac:dyDescent="0.35">
      <c r="C148" s="17" t="s">
        <v>762</v>
      </c>
      <c r="D148" s="17" t="s">
        <v>763</v>
      </c>
      <c r="E148" s="39" t="s">
        <v>764</v>
      </c>
      <c r="F148" s="39" t="s">
        <v>765</v>
      </c>
      <c r="G148" s="39" t="s">
        <v>766</v>
      </c>
    </row>
    <row r="149" spans="3:7" hidden="1" outlineLevel="4" x14ac:dyDescent="0.35">
      <c r="C149" s="68">
        <v>50200010</v>
      </c>
      <c r="D149" s="51" t="s">
        <v>767</v>
      </c>
      <c r="E149" s="51" t="s">
        <v>768</v>
      </c>
      <c r="F149" s="69" t="s">
        <v>265</v>
      </c>
      <c r="G149" s="69" t="s">
        <v>769</v>
      </c>
    </row>
    <row r="150" spans="3:7" hidden="1" outlineLevel="4" x14ac:dyDescent="0.35">
      <c r="C150" s="68">
        <v>50300010</v>
      </c>
      <c r="D150" s="51" t="s">
        <v>33</v>
      </c>
      <c r="E150" s="51" t="s">
        <v>770</v>
      </c>
      <c r="F150" s="70" t="s">
        <v>266</v>
      </c>
      <c r="G150" s="70" t="s">
        <v>34</v>
      </c>
    </row>
    <row r="151" spans="3:7" hidden="1" outlineLevel="4" x14ac:dyDescent="0.35">
      <c r="C151" s="68">
        <v>50300020</v>
      </c>
      <c r="D151" s="51" t="s">
        <v>35</v>
      </c>
      <c r="E151" s="51" t="s">
        <v>771</v>
      </c>
      <c r="F151" s="51" t="s">
        <v>266</v>
      </c>
      <c r="G151" s="70" t="s">
        <v>34</v>
      </c>
    </row>
    <row r="152" spans="3:7" hidden="1" outlineLevel="4" x14ac:dyDescent="0.35">
      <c r="C152" s="68">
        <v>50300030</v>
      </c>
      <c r="D152" s="51" t="s">
        <v>36</v>
      </c>
      <c r="E152" s="51" t="s">
        <v>772</v>
      </c>
      <c r="F152" s="51" t="s">
        <v>266</v>
      </c>
      <c r="G152" s="70" t="s">
        <v>34</v>
      </c>
    </row>
    <row r="153" spans="3:7" hidden="1" outlineLevel="4" x14ac:dyDescent="0.35">
      <c r="C153" s="68">
        <v>50300040</v>
      </c>
      <c r="D153" s="51" t="s">
        <v>37</v>
      </c>
      <c r="E153" s="51" t="s">
        <v>773</v>
      </c>
      <c r="F153" s="51" t="s">
        <v>266</v>
      </c>
      <c r="G153" s="70" t="s">
        <v>34</v>
      </c>
    </row>
    <row r="154" spans="3:7" hidden="1" outlineLevel="4" x14ac:dyDescent="0.35">
      <c r="C154" s="68">
        <v>50300050</v>
      </c>
      <c r="D154" s="51" t="s">
        <v>38</v>
      </c>
      <c r="E154" s="51" t="s">
        <v>774</v>
      </c>
      <c r="F154" s="51" t="s">
        <v>266</v>
      </c>
      <c r="G154" s="70" t="s">
        <v>34</v>
      </c>
    </row>
    <row r="155" spans="3:7" hidden="1" outlineLevel="4" x14ac:dyDescent="0.35">
      <c r="C155" s="68">
        <v>50300060</v>
      </c>
      <c r="D155" s="51" t="s">
        <v>775</v>
      </c>
      <c r="E155" s="51" t="s">
        <v>776</v>
      </c>
      <c r="F155" s="51" t="s">
        <v>266</v>
      </c>
      <c r="G155" s="70" t="s">
        <v>34</v>
      </c>
    </row>
    <row r="156" spans="3:7" hidden="1" outlineLevel="4" x14ac:dyDescent="0.35">
      <c r="C156" s="68">
        <v>50300070</v>
      </c>
      <c r="D156" s="51" t="s">
        <v>310</v>
      </c>
      <c r="E156" s="51" t="s">
        <v>777</v>
      </c>
      <c r="F156" s="55" t="s">
        <v>266</v>
      </c>
      <c r="G156" s="70" t="s">
        <v>34</v>
      </c>
    </row>
    <row r="157" spans="3:7" hidden="1" outlineLevel="4" x14ac:dyDescent="0.35">
      <c r="C157" s="68">
        <v>50300080</v>
      </c>
      <c r="D157" s="51" t="s">
        <v>39</v>
      </c>
      <c r="E157" s="51" t="s">
        <v>778</v>
      </c>
      <c r="F157" s="55" t="s">
        <v>266</v>
      </c>
      <c r="G157" s="70" t="s">
        <v>34</v>
      </c>
    </row>
    <row r="158" spans="3:7" hidden="1" outlineLevel="4" x14ac:dyDescent="0.35">
      <c r="C158" s="68">
        <v>50300090</v>
      </c>
      <c r="D158" s="51" t="s">
        <v>40</v>
      </c>
      <c r="E158" s="51" t="s">
        <v>779</v>
      </c>
      <c r="F158" s="55" t="s">
        <v>266</v>
      </c>
      <c r="G158" s="70" t="s">
        <v>34</v>
      </c>
    </row>
    <row r="159" spans="3:7" hidden="1" outlineLevel="4" x14ac:dyDescent="0.35">
      <c r="C159" s="68">
        <v>50300100</v>
      </c>
      <c r="D159" s="51" t="s">
        <v>41</v>
      </c>
      <c r="E159" s="51" t="s">
        <v>780</v>
      </c>
      <c r="F159" s="55" t="s">
        <v>266</v>
      </c>
      <c r="G159" s="70" t="s">
        <v>34</v>
      </c>
    </row>
    <row r="160" spans="3:7" hidden="1" outlineLevel="4" x14ac:dyDescent="0.35">
      <c r="C160" s="68">
        <v>50300110</v>
      </c>
      <c r="D160" s="51" t="s">
        <v>781</v>
      </c>
      <c r="E160" s="51" t="s">
        <v>782</v>
      </c>
      <c r="F160" s="55" t="s">
        <v>266</v>
      </c>
      <c r="G160" s="70" t="s">
        <v>34</v>
      </c>
    </row>
    <row r="161" spans="3:7" hidden="1" outlineLevel="4" x14ac:dyDescent="0.35">
      <c r="C161" s="68">
        <v>50300120</v>
      </c>
      <c r="D161" s="51" t="s">
        <v>783</v>
      </c>
      <c r="E161" s="51" t="s">
        <v>784</v>
      </c>
      <c r="F161" s="55" t="s">
        <v>266</v>
      </c>
      <c r="G161" s="70" t="s">
        <v>34</v>
      </c>
    </row>
    <row r="162" spans="3:7" hidden="1" outlineLevel="4" x14ac:dyDescent="0.35">
      <c r="C162" s="68">
        <v>50300990</v>
      </c>
      <c r="D162" s="51" t="s">
        <v>42</v>
      </c>
      <c r="E162" s="51" t="s">
        <v>785</v>
      </c>
      <c r="F162" s="55" t="s">
        <v>266</v>
      </c>
      <c r="G162" s="70" t="s">
        <v>34</v>
      </c>
    </row>
    <row r="163" spans="3:7" hidden="1" outlineLevel="4" x14ac:dyDescent="0.35">
      <c r="C163" s="68">
        <v>50400010</v>
      </c>
      <c r="D163" s="51" t="s">
        <v>786</v>
      </c>
      <c r="E163" s="51" t="s">
        <v>787</v>
      </c>
      <c r="F163" s="55" t="s">
        <v>267</v>
      </c>
      <c r="G163" s="70" t="s">
        <v>34</v>
      </c>
    </row>
    <row r="164" spans="3:7" hidden="1" outlineLevel="4" x14ac:dyDescent="0.35">
      <c r="C164" s="68">
        <v>50500010</v>
      </c>
      <c r="D164" s="51" t="s">
        <v>788</v>
      </c>
      <c r="E164" s="51" t="s">
        <v>789</v>
      </c>
      <c r="F164" s="55" t="s">
        <v>268</v>
      </c>
      <c r="G164" s="69" t="s">
        <v>769</v>
      </c>
    </row>
    <row r="165" spans="3:7" hidden="1" outlineLevel="4" x14ac:dyDescent="0.35">
      <c r="C165" s="68">
        <v>50500020</v>
      </c>
      <c r="D165" s="51" t="s">
        <v>311</v>
      </c>
      <c r="E165" s="51" t="s">
        <v>790</v>
      </c>
      <c r="F165" s="55" t="s">
        <v>268</v>
      </c>
      <c r="G165" s="69" t="s">
        <v>769</v>
      </c>
    </row>
    <row r="166" spans="3:7" hidden="1" outlineLevel="4" x14ac:dyDescent="0.35">
      <c r="C166" s="68">
        <v>50500030</v>
      </c>
      <c r="D166" s="51" t="s">
        <v>791</v>
      </c>
      <c r="E166" s="51" t="s">
        <v>58</v>
      </c>
      <c r="F166" s="55" t="s">
        <v>268</v>
      </c>
      <c r="G166" s="69" t="s">
        <v>769</v>
      </c>
    </row>
    <row r="167" spans="3:7" hidden="1" outlineLevel="4" x14ac:dyDescent="0.35">
      <c r="C167" s="68">
        <v>50500040</v>
      </c>
      <c r="D167" s="51" t="s">
        <v>60</v>
      </c>
      <c r="E167" s="51" t="s">
        <v>792</v>
      </c>
      <c r="F167" s="55" t="s">
        <v>268</v>
      </c>
      <c r="G167" s="69" t="s">
        <v>769</v>
      </c>
    </row>
    <row r="168" spans="3:7" hidden="1" outlineLevel="4" x14ac:dyDescent="0.35">
      <c r="C168" s="68">
        <v>50600010</v>
      </c>
      <c r="D168" s="51" t="s">
        <v>228</v>
      </c>
      <c r="E168" s="51" t="s">
        <v>793</v>
      </c>
      <c r="F168" s="55" t="s">
        <v>269</v>
      </c>
      <c r="G168" s="69" t="s">
        <v>769</v>
      </c>
    </row>
    <row r="169" spans="3:7" hidden="1" outlineLevel="4" x14ac:dyDescent="0.35">
      <c r="C169" s="68">
        <v>50600020</v>
      </c>
      <c r="D169" s="51" t="s">
        <v>229</v>
      </c>
      <c r="E169" s="51" t="s">
        <v>794</v>
      </c>
      <c r="F169" s="55" t="s">
        <v>269</v>
      </c>
      <c r="G169" s="69" t="s">
        <v>769</v>
      </c>
    </row>
    <row r="170" spans="3:7" hidden="1" outlineLevel="4" x14ac:dyDescent="0.35">
      <c r="C170" s="68">
        <v>50600030</v>
      </c>
      <c r="D170" s="51" t="s">
        <v>795</v>
      </c>
      <c r="E170" s="51" t="s">
        <v>796</v>
      </c>
      <c r="F170" s="55" t="s">
        <v>269</v>
      </c>
      <c r="G170" s="69" t="s">
        <v>769</v>
      </c>
    </row>
    <row r="171" spans="3:7" hidden="1" outlineLevel="4" x14ac:dyDescent="0.35">
      <c r="C171" s="68">
        <v>50600040</v>
      </c>
      <c r="D171" s="51" t="s">
        <v>231</v>
      </c>
      <c r="E171" s="51" t="s">
        <v>797</v>
      </c>
      <c r="F171" s="55" t="s">
        <v>269</v>
      </c>
      <c r="G171" s="69" t="s">
        <v>769</v>
      </c>
    </row>
    <row r="172" spans="3:7" hidden="1" outlineLevel="4" x14ac:dyDescent="0.35">
      <c r="C172" s="68">
        <v>50800010</v>
      </c>
      <c r="D172" s="51" t="s">
        <v>798</v>
      </c>
      <c r="E172" s="51" t="s">
        <v>799</v>
      </c>
      <c r="F172" s="55" t="s">
        <v>270</v>
      </c>
      <c r="G172" s="69" t="s">
        <v>769</v>
      </c>
    </row>
    <row r="173" spans="3:7" hidden="1" outlineLevel="4" x14ac:dyDescent="0.35">
      <c r="C173" s="68">
        <v>50800020</v>
      </c>
      <c r="D173" s="51" t="s">
        <v>64</v>
      </c>
      <c r="E173" s="51" t="s">
        <v>800</v>
      </c>
      <c r="F173" s="55" t="s">
        <v>270</v>
      </c>
      <c r="G173" s="69" t="s">
        <v>769</v>
      </c>
    </row>
    <row r="174" spans="3:7" hidden="1" outlineLevel="4" x14ac:dyDescent="0.35">
      <c r="C174" s="68">
        <v>50800030</v>
      </c>
      <c r="D174" s="51" t="s">
        <v>65</v>
      </c>
      <c r="E174" s="51" t="s">
        <v>801</v>
      </c>
      <c r="F174" s="55" t="s">
        <v>270</v>
      </c>
      <c r="G174" s="69" t="s">
        <v>769</v>
      </c>
    </row>
    <row r="175" spans="3:7" hidden="1" outlineLevel="4" x14ac:dyDescent="0.35">
      <c r="C175" s="68">
        <v>50800040</v>
      </c>
      <c r="D175" s="51" t="s">
        <v>66</v>
      </c>
      <c r="E175" s="51" t="s">
        <v>802</v>
      </c>
      <c r="F175" s="55" t="s">
        <v>270</v>
      </c>
      <c r="G175" s="69" t="s">
        <v>769</v>
      </c>
    </row>
    <row r="176" spans="3:7" hidden="1" outlineLevel="4" x14ac:dyDescent="0.35">
      <c r="C176" s="68">
        <v>50800050</v>
      </c>
      <c r="D176" s="51" t="s">
        <v>67</v>
      </c>
      <c r="E176" s="51" t="s">
        <v>803</v>
      </c>
      <c r="F176" s="55" t="s">
        <v>270</v>
      </c>
      <c r="G176" s="69" t="s">
        <v>769</v>
      </c>
    </row>
    <row r="177" spans="3:7" hidden="1" outlineLevel="4" x14ac:dyDescent="0.35">
      <c r="C177" s="68">
        <v>50800060</v>
      </c>
      <c r="D177" s="51" t="s">
        <v>68</v>
      </c>
      <c r="E177" s="51" t="s">
        <v>804</v>
      </c>
      <c r="F177" s="55" t="s">
        <v>270</v>
      </c>
      <c r="G177" s="69" t="s">
        <v>769</v>
      </c>
    </row>
    <row r="178" spans="3:7" hidden="1" outlineLevel="4" x14ac:dyDescent="0.35">
      <c r="C178" s="68">
        <v>50800070</v>
      </c>
      <c r="D178" s="51" t="s">
        <v>69</v>
      </c>
      <c r="E178" s="51" t="s">
        <v>805</v>
      </c>
      <c r="F178" s="55" t="s">
        <v>270</v>
      </c>
      <c r="G178" s="69" t="s">
        <v>769</v>
      </c>
    </row>
    <row r="179" spans="3:7" hidden="1" outlineLevel="4" x14ac:dyDescent="0.35">
      <c r="C179" s="68">
        <v>51100000</v>
      </c>
      <c r="D179" s="51" t="s">
        <v>232</v>
      </c>
      <c r="E179" s="51" t="s">
        <v>806</v>
      </c>
      <c r="F179" s="55" t="s">
        <v>271</v>
      </c>
      <c r="G179" s="69" t="s">
        <v>769</v>
      </c>
    </row>
    <row r="180" spans="3:7" hidden="1" outlineLevel="4" x14ac:dyDescent="0.35">
      <c r="C180" s="68">
        <v>51300010</v>
      </c>
      <c r="D180" s="51" t="s">
        <v>242</v>
      </c>
      <c r="E180" s="51" t="s">
        <v>807</v>
      </c>
      <c r="F180" s="55" t="s">
        <v>273</v>
      </c>
      <c r="G180" s="55" t="s">
        <v>139</v>
      </c>
    </row>
    <row r="181" spans="3:7" hidden="1" outlineLevel="4" x14ac:dyDescent="0.35">
      <c r="C181" s="68">
        <v>51300040</v>
      </c>
      <c r="D181" s="51" t="s">
        <v>245</v>
      </c>
      <c r="E181" s="51" t="s">
        <v>808</v>
      </c>
      <c r="F181" s="55" t="s">
        <v>273</v>
      </c>
      <c r="G181" s="55" t="s">
        <v>139</v>
      </c>
    </row>
    <row r="182" spans="3:7" hidden="1" outlineLevel="4" x14ac:dyDescent="0.35">
      <c r="C182" s="68">
        <v>51300050</v>
      </c>
      <c r="D182" s="51" t="s">
        <v>246</v>
      </c>
      <c r="E182" s="51" t="s">
        <v>809</v>
      </c>
      <c r="F182" s="55" t="s">
        <v>273</v>
      </c>
      <c r="G182" s="55" t="s">
        <v>139</v>
      </c>
    </row>
    <row r="183" spans="3:7" hidden="1" outlineLevel="4" x14ac:dyDescent="0.35">
      <c r="C183" s="68">
        <v>51300060</v>
      </c>
      <c r="D183" s="51" t="s">
        <v>247</v>
      </c>
      <c r="E183" s="51" t="s">
        <v>810</v>
      </c>
      <c r="F183" s="55" t="s">
        <v>273</v>
      </c>
      <c r="G183" s="55" t="s">
        <v>139</v>
      </c>
    </row>
    <row r="184" spans="3:7" hidden="1" outlineLevel="4" x14ac:dyDescent="0.35">
      <c r="C184" s="68">
        <v>51300090</v>
      </c>
      <c r="D184" s="51" t="s">
        <v>250</v>
      </c>
      <c r="E184" s="51" t="s">
        <v>811</v>
      </c>
      <c r="F184" s="55" t="s">
        <v>273</v>
      </c>
      <c r="G184" s="55" t="s">
        <v>139</v>
      </c>
    </row>
    <row r="185" spans="3:7" hidden="1" outlineLevel="4" x14ac:dyDescent="0.35">
      <c r="C185" s="68">
        <v>51500010</v>
      </c>
      <c r="D185" s="51" t="s">
        <v>812</v>
      </c>
      <c r="E185" s="51" t="s">
        <v>813</v>
      </c>
      <c r="F185" s="55" t="s">
        <v>275</v>
      </c>
      <c r="G185" s="69" t="s">
        <v>769</v>
      </c>
    </row>
    <row r="186" spans="3:7" hidden="1" outlineLevel="4" x14ac:dyDescent="0.35">
      <c r="C186" s="68">
        <v>51600010</v>
      </c>
      <c r="D186" s="51" t="s">
        <v>74</v>
      </c>
      <c r="E186" s="51" t="s">
        <v>814</v>
      </c>
      <c r="F186" s="55" t="s">
        <v>276</v>
      </c>
      <c r="G186" s="69" t="s">
        <v>769</v>
      </c>
    </row>
    <row r="187" spans="3:7" hidden="1" outlineLevel="4" x14ac:dyDescent="0.35">
      <c r="C187" s="68">
        <v>51600020</v>
      </c>
      <c r="D187" s="51" t="s">
        <v>75</v>
      </c>
      <c r="E187" s="51" t="s">
        <v>815</v>
      </c>
      <c r="F187" s="55" t="s">
        <v>276</v>
      </c>
      <c r="G187" s="69" t="s">
        <v>769</v>
      </c>
    </row>
    <row r="188" spans="3:7" hidden="1" outlineLevel="4" x14ac:dyDescent="0.35">
      <c r="C188" s="68">
        <v>51600030</v>
      </c>
      <c r="D188" s="51" t="s">
        <v>76</v>
      </c>
      <c r="E188" s="51" t="s">
        <v>816</v>
      </c>
      <c r="F188" s="55" t="s">
        <v>276</v>
      </c>
      <c r="G188" s="69" t="s">
        <v>769</v>
      </c>
    </row>
    <row r="189" spans="3:7" hidden="1" outlineLevel="4" x14ac:dyDescent="0.35">
      <c r="C189" s="68">
        <v>51600040</v>
      </c>
      <c r="D189" s="51" t="s">
        <v>77</v>
      </c>
      <c r="E189" s="51" t="s">
        <v>817</v>
      </c>
      <c r="F189" s="55" t="s">
        <v>276</v>
      </c>
      <c r="G189" s="69" t="s">
        <v>769</v>
      </c>
    </row>
    <row r="190" spans="3:7" hidden="1" outlineLevel="4" x14ac:dyDescent="0.35">
      <c r="C190" s="68">
        <v>51600050</v>
      </c>
      <c r="D190" s="51" t="s">
        <v>253</v>
      </c>
      <c r="E190" s="51" t="s">
        <v>818</v>
      </c>
      <c r="F190" s="55" t="s">
        <v>276</v>
      </c>
      <c r="G190" s="69" t="s">
        <v>769</v>
      </c>
    </row>
    <row r="191" spans="3:7" hidden="1" outlineLevel="4" x14ac:dyDescent="0.35">
      <c r="C191" s="68">
        <v>51600070</v>
      </c>
      <c r="D191" s="51" t="s">
        <v>78</v>
      </c>
      <c r="E191" s="51" t="s">
        <v>819</v>
      </c>
      <c r="F191" s="55" t="s">
        <v>276</v>
      </c>
      <c r="G191" s="69" t="s">
        <v>769</v>
      </c>
    </row>
    <row r="192" spans="3:7" hidden="1" outlineLevel="4" x14ac:dyDescent="0.35">
      <c r="C192" s="68">
        <v>51700010</v>
      </c>
      <c r="D192" s="51" t="s">
        <v>79</v>
      </c>
      <c r="E192" s="51" t="s">
        <v>820</v>
      </c>
      <c r="F192" s="55" t="s">
        <v>277</v>
      </c>
      <c r="G192" s="69" t="s">
        <v>769</v>
      </c>
    </row>
    <row r="193" spans="3:7" hidden="1" outlineLevel="4" x14ac:dyDescent="0.35">
      <c r="C193" s="68">
        <v>51700030</v>
      </c>
      <c r="D193" s="51" t="s">
        <v>80</v>
      </c>
      <c r="E193" s="51" t="s">
        <v>821</v>
      </c>
      <c r="F193" s="55" t="s">
        <v>277</v>
      </c>
      <c r="G193" s="69" t="s">
        <v>769</v>
      </c>
    </row>
    <row r="194" spans="3:7" hidden="1" outlineLevel="4" x14ac:dyDescent="0.35">
      <c r="C194" s="68">
        <v>51700040</v>
      </c>
      <c r="D194" s="51" t="s">
        <v>81</v>
      </c>
      <c r="E194" s="51" t="s">
        <v>822</v>
      </c>
      <c r="F194" s="55" t="s">
        <v>277</v>
      </c>
      <c r="G194" s="69" t="s">
        <v>769</v>
      </c>
    </row>
    <row r="195" spans="3:7" hidden="1" outlineLevel="4" x14ac:dyDescent="0.35">
      <c r="C195" s="68">
        <v>51700050</v>
      </c>
      <c r="D195" s="51" t="s">
        <v>82</v>
      </c>
      <c r="E195" s="51" t="s">
        <v>823</v>
      </c>
      <c r="F195" s="55" t="s">
        <v>277</v>
      </c>
      <c r="G195" s="69" t="s">
        <v>769</v>
      </c>
    </row>
    <row r="196" spans="3:7" hidden="1" outlineLevel="4" x14ac:dyDescent="0.35">
      <c r="C196" s="68">
        <v>51700060</v>
      </c>
      <c r="D196" s="51" t="s">
        <v>83</v>
      </c>
      <c r="E196" s="51" t="s">
        <v>824</v>
      </c>
      <c r="F196" s="55" t="s">
        <v>277</v>
      </c>
      <c r="G196" s="69" t="s">
        <v>769</v>
      </c>
    </row>
    <row r="197" spans="3:7" hidden="1" outlineLevel="4" x14ac:dyDescent="0.35">
      <c r="C197" s="68">
        <v>51700070</v>
      </c>
      <c r="D197" s="51" t="s">
        <v>84</v>
      </c>
      <c r="E197" s="51" t="s">
        <v>825</v>
      </c>
      <c r="F197" s="55" t="s">
        <v>277</v>
      </c>
      <c r="G197" s="69" t="s">
        <v>769</v>
      </c>
    </row>
    <row r="198" spans="3:7" hidden="1" outlineLevel="4" x14ac:dyDescent="0.35">
      <c r="C198" s="68">
        <v>51800010</v>
      </c>
      <c r="D198" s="51" t="s">
        <v>85</v>
      </c>
      <c r="E198" s="51" t="s">
        <v>826</v>
      </c>
      <c r="F198" s="55" t="s">
        <v>278</v>
      </c>
      <c r="G198" s="69" t="s">
        <v>769</v>
      </c>
    </row>
    <row r="199" spans="3:7" hidden="1" outlineLevel="4" x14ac:dyDescent="0.35">
      <c r="C199" s="68">
        <v>51800020</v>
      </c>
      <c r="D199" s="51" t="s">
        <v>86</v>
      </c>
      <c r="E199" s="51" t="s">
        <v>827</v>
      </c>
      <c r="F199" s="55" t="s">
        <v>278</v>
      </c>
      <c r="G199" s="69" t="s">
        <v>769</v>
      </c>
    </row>
    <row r="200" spans="3:7" hidden="1" outlineLevel="4" x14ac:dyDescent="0.35">
      <c r="C200" s="68">
        <v>51800030</v>
      </c>
      <c r="D200" s="51" t="s">
        <v>87</v>
      </c>
      <c r="E200" s="51" t="s">
        <v>828</v>
      </c>
      <c r="F200" s="55" t="s">
        <v>278</v>
      </c>
      <c r="G200" s="69" t="s">
        <v>769</v>
      </c>
    </row>
    <row r="201" spans="3:7" hidden="1" outlineLevel="4" x14ac:dyDescent="0.35">
      <c r="C201" s="68">
        <v>51800090</v>
      </c>
      <c r="D201" s="51" t="s">
        <v>88</v>
      </c>
      <c r="E201" s="51" t="s">
        <v>829</v>
      </c>
      <c r="F201" s="55" t="s">
        <v>278</v>
      </c>
      <c r="G201" s="69" t="s">
        <v>769</v>
      </c>
    </row>
    <row r="202" spans="3:7" hidden="1" outlineLevel="4" x14ac:dyDescent="0.35">
      <c r="C202" s="68">
        <v>51900010</v>
      </c>
      <c r="D202" s="51" t="s">
        <v>89</v>
      </c>
      <c r="E202" s="51" t="s">
        <v>830</v>
      </c>
      <c r="F202" s="55" t="s">
        <v>227</v>
      </c>
      <c r="G202" s="69" t="s">
        <v>769</v>
      </c>
    </row>
    <row r="203" spans="3:7" hidden="1" outlineLevel="4" x14ac:dyDescent="0.35">
      <c r="C203" s="68">
        <v>51900020</v>
      </c>
      <c r="D203" s="51" t="s">
        <v>91</v>
      </c>
      <c r="E203" s="51" t="s">
        <v>831</v>
      </c>
      <c r="F203" s="55" t="s">
        <v>227</v>
      </c>
      <c r="G203" s="69" t="s">
        <v>769</v>
      </c>
    </row>
    <row r="204" spans="3:7" hidden="1" outlineLevel="4" x14ac:dyDescent="0.35">
      <c r="C204" s="68">
        <v>51900030</v>
      </c>
      <c r="D204" s="51" t="s">
        <v>92</v>
      </c>
      <c r="E204" s="51" t="s">
        <v>832</v>
      </c>
      <c r="F204" s="55" t="s">
        <v>227</v>
      </c>
      <c r="G204" s="69" t="s">
        <v>769</v>
      </c>
    </row>
    <row r="205" spans="3:7" hidden="1" outlineLevel="4" x14ac:dyDescent="0.35">
      <c r="C205" s="68">
        <v>51900040</v>
      </c>
      <c r="D205" s="51" t="s">
        <v>93</v>
      </c>
      <c r="E205" s="51" t="s">
        <v>833</v>
      </c>
      <c r="F205" s="55" t="s">
        <v>227</v>
      </c>
      <c r="G205" s="69" t="s">
        <v>769</v>
      </c>
    </row>
    <row r="206" spans="3:7" hidden="1" outlineLevel="4" x14ac:dyDescent="0.35">
      <c r="C206" s="68">
        <v>51900090</v>
      </c>
      <c r="D206" s="51" t="s">
        <v>94</v>
      </c>
      <c r="E206" s="51" t="s">
        <v>834</v>
      </c>
      <c r="F206" s="55" t="s">
        <v>227</v>
      </c>
      <c r="G206" s="69" t="s">
        <v>769</v>
      </c>
    </row>
    <row r="207" spans="3:7" hidden="1" outlineLevel="4" x14ac:dyDescent="0.35">
      <c r="C207" s="68">
        <v>52100010</v>
      </c>
      <c r="D207" s="51" t="s">
        <v>98</v>
      </c>
      <c r="E207" s="51" t="s">
        <v>99</v>
      </c>
      <c r="F207" s="55" t="s">
        <v>280</v>
      </c>
      <c r="G207" s="69" t="s">
        <v>769</v>
      </c>
    </row>
    <row r="208" spans="3:7" hidden="1" outlineLevel="4" x14ac:dyDescent="0.35">
      <c r="C208" s="68">
        <v>52100020</v>
      </c>
      <c r="D208" s="51" t="s">
        <v>100</v>
      </c>
      <c r="E208" s="51" t="s">
        <v>835</v>
      </c>
      <c r="F208" s="55" t="s">
        <v>280</v>
      </c>
      <c r="G208" s="69" t="s">
        <v>769</v>
      </c>
    </row>
    <row r="209" spans="3:7" hidden="1" outlineLevel="4" x14ac:dyDescent="0.35">
      <c r="C209" s="68">
        <v>52100030</v>
      </c>
      <c r="D209" s="51" t="s">
        <v>101</v>
      </c>
      <c r="E209" s="51" t="s">
        <v>102</v>
      </c>
      <c r="F209" s="55" t="s">
        <v>280</v>
      </c>
      <c r="G209" s="69" t="s">
        <v>769</v>
      </c>
    </row>
    <row r="210" spans="3:7" hidden="1" outlineLevel="4" x14ac:dyDescent="0.35">
      <c r="C210" s="68">
        <v>52100040</v>
      </c>
      <c r="D210" s="51" t="s">
        <v>103</v>
      </c>
      <c r="E210" s="51" t="s">
        <v>104</v>
      </c>
      <c r="F210" s="55" t="s">
        <v>280</v>
      </c>
      <c r="G210" s="69" t="s">
        <v>769</v>
      </c>
    </row>
    <row r="211" spans="3:7" hidden="1" outlineLevel="4" x14ac:dyDescent="0.35">
      <c r="C211" s="68">
        <v>52100050</v>
      </c>
      <c r="D211" s="51" t="s">
        <v>105</v>
      </c>
      <c r="E211" s="51" t="s">
        <v>836</v>
      </c>
      <c r="F211" s="55" t="s">
        <v>280</v>
      </c>
      <c r="G211" s="69" t="s">
        <v>769</v>
      </c>
    </row>
    <row r="212" spans="3:7" ht="29" hidden="1" outlineLevel="4" x14ac:dyDescent="0.35">
      <c r="C212" s="68">
        <v>52200010</v>
      </c>
      <c r="D212" s="51" t="s">
        <v>106</v>
      </c>
      <c r="E212" s="51" t="s">
        <v>107</v>
      </c>
      <c r="F212" s="55" t="s">
        <v>281</v>
      </c>
      <c r="G212" s="69" t="s">
        <v>769</v>
      </c>
    </row>
    <row r="213" spans="3:7" ht="29" hidden="1" outlineLevel="4" x14ac:dyDescent="0.35">
      <c r="C213" s="68">
        <v>52200020</v>
      </c>
      <c r="D213" s="51" t="s">
        <v>108</v>
      </c>
      <c r="E213" s="51" t="s">
        <v>109</v>
      </c>
      <c r="F213" s="55" t="s">
        <v>281</v>
      </c>
      <c r="G213" s="69" t="s">
        <v>769</v>
      </c>
    </row>
    <row r="214" spans="3:7" hidden="1" outlineLevel="4" x14ac:dyDescent="0.35">
      <c r="C214" s="68">
        <v>52300010</v>
      </c>
      <c r="D214" s="51" t="s">
        <v>110</v>
      </c>
      <c r="E214" s="51" t="s">
        <v>837</v>
      </c>
      <c r="F214" s="55" t="s">
        <v>282</v>
      </c>
      <c r="G214" s="69" t="s">
        <v>769</v>
      </c>
    </row>
    <row r="215" spans="3:7" hidden="1" outlineLevel="4" x14ac:dyDescent="0.35">
      <c r="C215" s="68">
        <v>52300020</v>
      </c>
      <c r="D215" s="51" t="s">
        <v>112</v>
      </c>
      <c r="E215" s="51" t="s">
        <v>838</v>
      </c>
      <c r="F215" s="55" t="s">
        <v>282</v>
      </c>
      <c r="G215" s="69" t="s">
        <v>769</v>
      </c>
    </row>
    <row r="216" spans="3:7" hidden="1" outlineLevel="4" x14ac:dyDescent="0.35">
      <c r="C216" s="68">
        <v>52400030</v>
      </c>
      <c r="D216" s="51" t="s">
        <v>114</v>
      </c>
      <c r="E216" s="51" t="s">
        <v>839</v>
      </c>
      <c r="F216" s="55" t="s">
        <v>283</v>
      </c>
      <c r="G216" s="69" t="s">
        <v>769</v>
      </c>
    </row>
    <row r="217" spans="3:7" hidden="1" outlineLevel="4" x14ac:dyDescent="0.35">
      <c r="C217" s="68">
        <v>52400040</v>
      </c>
      <c r="D217" s="51" t="s">
        <v>116</v>
      </c>
      <c r="E217" s="51" t="s">
        <v>840</v>
      </c>
      <c r="F217" s="55" t="s">
        <v>283</v>
      </c>
      <c r="G217" s="69" t="s">
        <v>769</v>
      </c>
    </row>
    <row r="218" spans="3:7" hidden="1" outlineLevel="4" x14ac:dyDescent="0.35">
      <c r="C218" s="68">
        <v>52400060</v>
      </c>
      <c r="D218" s="51" t="s">
        <v>255</v>
      </c>
      <c r="E218" s="51" t="s">
        <v>841</v>
      </c>
      <c r="F218" s="55" t="s">
        <v>283</v>
      </c>
      <c r="G218" s="69" t="s">
        <v>769</v>
      </c>
    </row>
    <row r="219" spans="3:7" hidden="1" outlineLevel="4" x14ac:dyDescent="0.35">
      <c r="C219" s="68">
        <v>52500010</v>
      </c>
      <c r="D219" s="51" t="s">
        <v>117</v>
      </c>
      <c r="E219" s="51" t="s">
        <v>842</v>
      </c>
      <c r="F219" s="55" t="s">
        <v>117</v>
      </c>
      <c r="G219" s="69" t="s">
        <v>769</v>
      </c>
    </row>
    <row r="220" spans="3:7" hidden="1" outlineLevel="4" x14ac:dyDescent="0.35">
      <c r="C220" s="68">
        <v>52600020</v>
      </c>
      <c r="D220" s="51" t="s">
        <v>120</v>
      </c>
      <c r="E220" s="51" t="s">
        <v>843</v>
      </c>
      <c r="F220" s="55" t="s">
        <v>284</v>
      </c>
      <c r="G220" s="69" t="s">
        <v>769</v>
      </c>
    </row>
    <row r="221" spans="3:7" hidden="1" outlineLevel="4" x14ac:dyDescent="0.35">
      <c r="C221" s="68">
        <v>52600030</v>
      </c>
      <c r="D221" s="51" t="s">
        <v>121</v>
      </c>
      <c r="E221" s="51" t="s">
        <v>844</v>
      </c>
      <c r="F221" s="55" t="s">
        <v>284</v>
      </c>
      <c r="G221" s="69" t="s">
        <v>769</v>
      </c>
    </row>
    <row r="222" spans="3:7" hidden="1" outlineLevel="4" x14ac:dyDescent="0.35">
      <c r="C222" s="68">
        <v>52900010</v>
      </c>
      <c r="D222" s="51" t="s">
        <v>122</v>
      </c>
      <c r="E222" s="51" t="s">
        <v>845</v>
      </c>
      <c r="F222" s="55" t="s">
        <v>285</v>
      </c>
      <c r="G222" s="69" t="s">
        <v>769</v>
      </c>
    </row>
    <row r="223" spans="3:7" hidden="1" outlineLevel="4" x14ac:dyDescent="0.35">
      <c r="C223" s="68">
        <v>52900020</v>
      </c>
      <c r="D223" s="51" t="s">
        <v>124</v>
      </c>
      <c r="E223" s="51" t="s">
        <v>846</v>
      </c>
      <c r="F223" s="55" t="s">
        <v>285</v>
      </c>
      <c r="G223" s="69" t="s">
        <v>769</v>
      </c>
    </row>
    <row r="224" spans="3:7" hidden="1" outlineLevel="4" x14ac:dyDescent="0.35">
      <c r="C224" s="68">
        <v>53100010</v>
      </c>
      <c r="D224" s="51" t="s">
        <v>258</v>
      </c>
      <c r="E224" s="51" t="s">
        <v>847</v>
      </c>
      <c r="F224" s="55" t="s">
        <v>258</v>
      </c>
      <c r="G224" s="69" t="s">
        <v>769</v>
      </c>
    </row>
    <row r="225" spans="3:7" hidden="1" outlineLevel="4" x14ac:dyDescent="0.35">
      <c r="C225" s="71"/>
      <c r="D225" s="60"/>
      <c r="E225" s="61"/>
      <c r="F225" s="61"/>
      <c r="G225" s="61"/>
    </row>
    <row r="226" spans="3:7" collapsed="1" x14ac:dyDescent="0.35"/>
    <row r="228" spans="3:7" x14ac:dyDescent="0.35">
      <c r="C228" s="37" t="s">
        <v>848</v>
      </c>
    </row>
    <row r="229" spans="3:7" x14ac:dyDescent="0.35">
      <c r="C229" s="17" t="s">
        <v>762</v>
      </c>
      <c r="D229" s="17" t="s">
        <v>763</v>
      </c>
      <c r="E229" s="39" t="s">
        <v>764</v>
      </c>
      <c r="F229" s="39" t="s">
        <v>765</v>
      </c>
      <c r="G229" s="39" t="s">
        <v>766</v>
      </c>
    </row>
    <row r="230" spans="3:7" x14ac:dyDescent="0.35">
      <c r="C230" s="68">
        <v>60100010</v>
      </c>
      <c r="D230" s="51" t="s">
        <v>43</v>
      </c>
      <c r="E230" s="51" t="s">
        <v>849</v>
      </c>
      <c r="F230" s="69" t="s">
        <v>287</v>
      </c>
      <c r="G230" s="69" t="s">
        <v>34</v>
      </c>
    </row>
    <row r="231" spans="3:7" x14ac:dyDescent="0.35">
      <c r="C231" s="68">
        <v>60100020</v>
      </c>
      <c r="D231" s="51" t="s">
        <v>44</v>
      </c>
      <c r="E231" s="51" t="s">
        <v>850</v>
      </c>
      <c r="F231" s="70" t="s">
        <v>287</v>
      </c>
      <c r="G231" s="70" t="s">
        <v>34</v>
      </c>
    </row>
    <row r="232" spans="3:7" x14ac:dyDescent="0.35">
      <c r="C232" s="68">
        <v>60100030</v>
      </c>
      <c r="D232" s="51" t="s">
        <v>45</v>
      </c>
      <c r="E232" s="51" t="s">
        <v>851</v>
      </c>
      <c r="F232" s="51" t="s">
        <v>287</v>
      </c>
      <c r="G232" s="70" t="s">
        <v>34</v>
      </c>
    </row>
    <row r="233" spans="3:7" x14ac:dyDescent="0.35">
      <c r="C233" s="68">
        <v>60100040</v>
      </c>
      <c r="D233" s="51" t="s">
        <v>46</v>
      </c>
      <c r="E233" s="51" t="s">
        <v>852</v>
      </c>
      <c r="F233" s="51" t="s">
        <v>287</v>
      </c>
      <c r="G233" s="70" t="s">
        <v>34</v>
      </c>
    </row>
    <row r="234" spans="3:7" x14ac:dyDescent="0.35">
      <c r="C234" s="68">
        <v>60100050</v>
      </c>
      <c r="D234" s="51" t="s">
        <v>47</v>
      </c>
      <c r="E234" s="51" t="s">
        <v>853</v>
      </c>
      <c r="F234" s="51" t="s">
        <v>287</v>
      </c>
      <c r="G234" s="70" t="s">
        <v>34</v>
      </c>
    </row>
    <row r="235" spans="3:7" x14ac:dyDescent="0.35">
      <c r="C235" s="68">
        <v>60100060</v>
      </c>
      <c r="D235" s="51" t="s">
        <v>48</v>
      </c>
      <c r="E235" s="51" t="s">
        <v>854</v>
      </c>
      <c r="F235" s="51" t="s">
        <v>287</v>
      </c>
      <c r="G235" s="70" t="s">
        <v>34</v>
      </c>
    </row>
    <row r="236" spans="3:7" x14ac:dyDescent="0.35">
      <c r="C236" s="68">
        <v>60100070</v>
      </c>
      <c r="D236" s="51" t="s">
        <v>49</v>
      </c>
      <c r="E236" s="51" t="s">
        <v>855</v>
      </c>
      <c r="F236" s="51" t="s">
        <v>287</v>
      </c>
      <c r="G236" s="70" t="s">
        <v>34</v>
      </c>
    </row>
    <row r="237" spans="3:7" x14ac:dyDescent="0.35">
      <c r="C237" s="68">
        <v>60100080</v>
      </c>
      <c r="D237" s="51" t="s">
        <v>50</v>
      </c>
      <c r="E237" s="51" t="s">
        <v>856</v>
      </c>
      <c r="F237" s="55" t="s">
        <v>287</v>
      </c>
      <c r="G237" s="70" t="s">
        <v>34</v>
      </c>
    </row>
    <row r="238" spans="3:7" x14ac:dyDescent="0.35">
      <c r="C238" s="68">
        <v>60100090</v>
      </c>
      <c r="D238" s="51" t="s">
        <v>51</v>
      </c>
      <c r="E238" s="51" t="s">
        <v>857</v>
      </c>
      <c r="F238" s="55" t="s">
        <v>287</v>
      </c>
      <c r="G238" s="70" t="s">
        <v>34</v>
      </c>
    </row>
    <row r="239" spans="3:7" x14ac:dyDescent="0.35">
      <c r="C239" s="68">
        <v>60100100</v>
      </c>
      <c r="D239" s="51" t="s">
        <v>52</v>
      </c>
      <c r="E239" s="51" t="s">
        <v>858</v>
      </c>
      <c r="F239" s="55" t="s">
        <v>287</v>
      </c>
      <c r="G239" s="70" t="s">
        <v>34</v>
      </c>
    </row>
    <row r="240" spans="3:7" x14ac:dyDescent="0.35">
      <c r="C240" s="68">
        <v>60100110</v>
      </c>
      <c r="D240" s="51" t="s">
        <v>53</v>
      </c>
      <c r="E240" s="51" t="s">
        <v>859</v>
      </c>
      <c r="F240" s="55" t="s">
        <v>287</v>
      </c>
      <c r="G240" s="70" t="s">
        <v>34</v>
      </c>
    </row>
    <row r="241" spans="3:7" x14ac:dyDescent="0.35">
      <c r="C241" s="68">
        <v>60100120</v>
      </c>
      <c r="D241" s="51" t="s">
        <v>860</v>
      </c>
      <c r="E241" s="51" t="s">
        <v>852</v>
      </c>
      <c r="F241" s="55" t="s">
        <v>287</v>
      </c>
      <c r="G241" s="70" t="s">
        <v>34</v>
      </c>
    </row>
    <row r="242" spans="3:7" x14ac:dyDescent="0.35">
      <c r="C242" s="68">
        <v>60100990</v>
      </c>
      <c r="D242" s="51" t="s">
        <v>54</v>
      </c>
      <c r="E242" s="51" t="s">
        <v>861</v>
      </c>
      <c r="F242" s="55" t="s">
        <v>287</v>
      </c>
      <c r="G242" s="70" t="s">
        <v>34</v>
      </c>
    </row>
    <row r="243" spans="3:7" x14ac:dyDescent="0.35">
      <c r="C243" s="68">
        <v>60200010</v>
      </c>
      <c r="D243" s="51" t="s">
        <v>55</v>
      </c>
      <c r="E243" s="51" t="s">
        <v>56</v>
      </c>
      <c r="F243" s="55" t="s">
        <v>267</v>
      </c>
      <c r="G243" s="70" t="s">
        <v>34</v>
      </c>
    </row>
    <row r="244" spans="3:7" x14ac:dyDescent="0.35">
      <c r="C244" s="68">
        <v>60300010</v>
      </c>
      <c r="D244" s="51" t="s">
        <v>57</v>
      </c>
      <c r="E244" s="51" t="s">
        <v>58</v>
      </c>
      <c r="F244" s="55" t="s">
        <v>288</v>
      </c>
      <c r="G244" s="70" t="s">
        <v>34</v>
      </c>
    </row>
    <row r="245" spans="3:7" x14ac:dyDescent="0.35">
      <c r="C245" s="68">
        <v>60600010</v>
      </c>
      <c r="D245" s="51" t="s">
        <v>228</v>
      </c>
      <c r="E245" s="51" t="s">
        <v>862</v>
      </c>
      <c r="F245" s="55" t="s">
        <v>269</v>
      </c>
      <c r="G245" s="69" t="s">
        <v>59</v>
      </c>
    </row>
    <row r="246" spans="3:7" x14ac:dyDescent="0.35">
      <c r="C246" s="68">
        <v>60600020</v>
      </c>
      <c r="D246" s="51" t="s">
        <v>229</v>
      </c>
      <c r="E246" s="51" t="s">
        <v>863</v>
      </c>
      <c r="F246" s="55" t="s">
        <v>269</v>
      </c>
      <c r="G246" s="69" t="s">
        <v>59</v>
      </c>
    </row>
    <row r="247" spans="3:7" ht="18" customHeight="1" x14ac:dyDescent="0.35">
      <c r="C247" s="68">
        <v>60600030</v>
      </c>
      <c r="D247" s="51" t="s">
        <v>230</v>
      </c>
      <c r="E247" s="51" t="s">
        <v>864</v>
      </c>
      <c r="F247" s="55" t="s">
        <v>269</v>
      </c>
      <c r="G247" s="69" t="s">
        <v>59</v>
      </c>
    </row>
    <row r="248" spans="3:7" ht="25" customHeight="1" x14ac:dyDescent="0.35">
      <c r="C248" s="68">
        <v>60600050</v>
      </c>
      <c r="D248" s="51" t="s">
        <v>61</v>
      </c>
      <c r="E248" s="51" t="s">
        <v>1223</v>
      </c>
      <c r="F248" s="55" t="s">
        <v>269</v>
      </c>
      <c r="G248" s="69" t="s">
        <v>59</v>
      </c>
    </row>
    <row r="249" spans="3:7" ht="18" customHeight="1" x14ac:dyDescent="0.35">
      <c r="C249" s="68">
        <v>60700010</v>
      </c>
      <c r="D249" s="51" t="s">
        <v>62</v>
      </c>
      <c r="E249" s="51" t="s">
        <v>1224</v>
      </c>
      <c r="F249" s="55" t="s">
        <v>62</v>
      </c>
      <c r="G249" s="69" t="s">
        <v>59</v>
      </c>
    </row>
    <row r="250" spans="3:7" x14ac:dyDescent="0.35">
      <c r="C250" s="68">
        <v>60800010</v>
      </c>
      <c r="D250" s="51" t="s">
        <v>63</v>
      </c>
      <c r="E250" s="51" t="s">
        <v>799</v>
      </c>
      <c r="F250" s="55" t="s">
        <v>289</v>
      </c>
      <c r="G250" s="69" t="s">
        <v>769</v>
      </c>
    </row>
    <row r="251" spans="3:7" x14ac:dyDescent="0.35">
      <c r="C251" s="68">
        <v>60800020</v>
      </c>
      <c r="D251" s="51" t="s">
        <v>64</v>
      </c>
      <c r="E251" s="51" t="s">
        <v>800</v>
      </c>
      <c r="F251" s="55" t="s">
        <v>289</v>
      </c>
      <c r="G251" s="69" t="s">
        <v>769</v>
      </c>
    </row>
    <row r="252" spans="3:7" x14ac:dyDescent="0.35">
      <c r="C252" s="68">
        <v>60800030</v>
      </c>
      <c r="D252" s="51" t="s">
        <v>65</v>
      </c>
      <c r="E252" s="51" t="s">
        <v>801</v>
      </c>
      <c r="F252" s="55" t="s">
        <v>289</v>
      </c>
      <c r="G252" s="69" t="s">
        <v>769</v>
      </c>
    </row>
    <row r="253" spans="3:7" x14ac:dyDescent="0.35">
      <c r="C253" s="68">
        <v>60800040</v>
      </c>
      <c r="D253" s="51" t="s">
        <v>66</v>
      </c>
      <c r="E253" s="51" t="s">
        <v>802</v>
      </c>
      <c r="F253" s="55" t="s">
        <v>289</v>
      </c>
      <c r="G253" s="69" t="s">
        <v>769</v>
      </c>
    </row>
    <row r="254" spans="3:7" x14ac:dyDescent="0.35">
      <c r="C254" s="68">
        <v>60800050</v>
      </c>
      <c r="D254" s="51" t="s">
        <v>67</v>
      </c>
      <c r="E254" s="51" t="s">
        <v>803</v>
      </c>
      <c r="F254" s="55" t="s">
        <v>289</v>
      </c>
      <c r="G254" s="69" t="s">
        <v>769</v>
      </c>
    </row>
    <row r="255" spans="3:7" x14ac:dyDescent="0.35">
      <c r="C255" s="68">
        <v>60800060</v>
      </c>
      <c r="D255" s="51" t="s">
        <v>68</v>
      </c>
      <c r="E255" s="51" t="s">
        <v>804</v>
      </c>
      <c r="F255" s="55" t="s">
        <v>289</v>
      </c>
      <c r="G255" s="69" t="s">
        <v>769</v>
      </c>
    </row>
    <row r="256" spans="3:7" x14ac:dyDescent="0.35">
      <c r="C256" s="68">
        <v>60800070</v>
      </c>
      <c r="D256" s="51" t="s">
        <v>69</v>
      </c>
      <c r="E256" s="51" t="s">
        <v>805</v>
      </c>
      <c r="F256" s="55" t="s">
        <v>289</v>
      </c>
      <c r="G256" s="69" t="s">
        <v>769</v>
      </c>
    </row>
    <row r="257" spans="3:7" x14ac:dyDescent="0.35">
      <c r="C257" s="68">
        <v>60800080</v>
      </c>
      <c r="D257" s="51" t="s">
        <v>70</v>
      </c>
      <c r="E257" s="51" t="s">
        <v>865</v>
      </c>
      <c r="F257" s="55" t="s">
        <v>289</v>
      </c>
      <c r="G257" s="69" t="s">
        <v>769</v>
      </c>
    </row>
    <row r="258" spans="3:7" x14ac:dyDescent="0.35">
      <c r="C258" s="68">
        <v>61100010</v>
      </c>
      <c r="D258" s="51" t="s">
        <v>232</v>
      </c>
      <c r="E258" s="51" t="s">
        <v>806</v>
      </c>
      <c r="F258" s="55" t="s">
        <v>271</v>
      </c>
      <c r="G258" s="69" t="s">
        <v>649</v>
      </c>
    </row>
    <row r="259" spans="3:7" x14ac:dyDescent="0.35">
      <c r="C259" s="68">
        <v>61200010</v>
      </c>
      <c r="D259" s="51" t="s">
        <v>233</v>
      </c>
      <c r="E259" s="51" t="s">
        <v>866</v>
      </c>
      <c r="F259" s="55" t="s">
        <v>272</v>
      </c>
      <c r="G259" s="69" t="s">
        <v>867</v>
      </c>
    </row>
    <row r="260" spans="3:7" x14ac:dyDescent="0.35">
      <c r="C260" s="68">
        <v>61200020</v>
      </c>
      <c r="D260" s="51" t="s">
        <v>234</v>
      </c>
      <c r="E260" s="51" t="s">
        <v>868</v>
      </c>
      <c r="F260" s="55" t="s">
        <v>272</v>
      </c>
      <c r="G260" s="69" t="s">
        <v>867</v>
      </c>
    </row>
    <row r="261" spans="3:7" x14ac:dyDescent="0.35">
      <c r="C261" s="68">
        <v>61200030</v>
      </c>
      <c r="D261" s="51" t="s">
        <v>235</v>
      </c>
      <c r="E261" s="51" t="s">
        <v>869</v>
      </c>
      <c r="F261" s="55" t="s">
        <v>272</v>
      </c>
      <c r="G261" s="69" t="s">
        <v>867</v>
      </c>
    </row>
    <row r="262" spans="3:7" x14ac:dyDescent="0.35">
      <c r="C262" s="68">
        <v>61200040</v>
      </c>
      <c r="D262" s="51" t="s">
        <v>236</v>
      </c>
      <c r="E262" s="51" t="s">
        <v>870</v>
      </c>
      <c r="F262" s="55" t="s">
        <v>272</v>
      </c>
      <c r="G262" s="69" t="s">
        <v>867</v>
      </c>
    </row>
    <row r="263" spans="3:7" x14ac:dyDescent="0.35">
      <c r="C263" s="68">
        <v>61200050</v>
      </c>
      <c r="D263" s="51" t="s">
        <v>237</v>
      </c>
      <c r="E263" s="51" t="s">
        <v>871</v>
      </c>
      <c r="F263" s="55" t="s">
        <v>272</v>
      </c>
      <c r="G263" s="69" t="s">
        <v>867</v>
      </c>
    </row>
    <row r="264" spans="3:7" x14ac:dyDescent="0.35">
      <c r="C264" s="68">
        <v>61200060</v>
      </c>
      <c r="D264" s="51" t="s">
        <v>238</v>
      </c>
      <c r="E264" s="51" t="s">
        <v>872</v>
      </c>
      <c r="F264" s="55" t="s">
        <v>272</v>
      </c>
      <c r="G264" s="69" t="s">
        <v>867</v>
      </c>
    </row>
    <row r="265" spans="3:7" x14ac:dyDescent="0.35">
      <c r="C265" s="68">
        <v>61200070</v>
      </c>
      <c r="D265" s="51" t="s">
        <v>239</v>
      </c>
      <c r="E265" s="51" t="s">
        <v>873</v>
      </c>
      <c r="F265" s="55" t="s">
        <v>272</v>
      </c>
      <c r="G265" s="69" t="s">
        <v>867</v>
      </c>
    </row>
    <row r="266" spans="3:7" x14ac:dyDescent="0.35">
      <c r="C266" s="68">
        <v>61200080</v>
      </c>
      <c r="D266" s="51" t="s">
        <v>240</v>
      </c>
      <c r="E266" s="51" t="s">
        <v>874</v>
      </c>
      <c r="F266" s="55" t="s">
        <v>272</v>
      </c>
      <c r="G266" s="69" t="s">
        <v>867</v>
      </c>
    </row>
    <row r="267" spans="3:7" x14ac:dyDescent="0.35">
      <c r="C267" s="68">
        <v>61200090</v>
      </c>
      <c r="D267" s="51" t="s">
        <v>241</v>
      </c>
      <c r="E267" s="51" t="s">
        <v>875</v>
      </c>
      <c r="F267" s="55" t="s">
        <v>272</v>
      </c>
      <c r="G267" s="69" t="s">
        <v>867</v>
      </c>
    </row>
    <row r="268" spans="3:7" x14ac:dyDescent="0.35">
      <c r="C268" s="68">
        <v>61300010</v>
      </c>
      <c r="D268" s="51" t="s">
        <v>242</v>
      </c>
      <c r="E268" s="51" t="s">
        <v>876</v>
      </c>
      <c r="F268" s="55" t="s">
        <v>273</v>
      </c>
      <c r="G268" s="69" t="s">
        <v>867</v>
      </c>
    </row>
    <row r="269" spans="3:7" x14ac:dyDescent="0.35">
      <c r="C269" s="68">
        <v>61300020</v>
      </c>
      <c r="D269" s="51" t="s">
        <v>243</v>
      </c>
      <c r="E269" s="51" t="s">
        <v>877</v>
      </c>
      <c r="F269" s="55" t="s">
        <v>273</v>
      </c>
      <c r="G269" s="69" t="s">
        <v>867</v>
      </c>
    </row>
    <row r="270" spans="3:7" x14ac:dyDescent="0.35">
      <c r="C270" s="68">
        <v>61300030</v>
      </c>
      <c r="D270" s="51" t="s">
        <v>244</v>
      </c>
      <c r="E270" s="51" t="s">
        <v>878</v>
      </c>
      <c r="F270" s="55" t="s">
        <v>273</v>
      </c>
      <c r="G270" s="69" t="s">
        <v>867</v>
      </c>
    </row>
    <row r="271" spans="3:7" x14ac:dyDescent="0.35">
      <c r="C271" s="68">
        <v>61300040</v>
      </c>
      <c r="D271" s="51" t="s">
        <v>245</v>
      </c>
      <c r="E271" s="51" t="s">
        <v>879</v>
      </c>
      <c r="F271" s="55" t="s">
        <v>273</v>
      </c>
      <c r="G271" s="69" t="s">
        <v>867</v>
      </c>
    </row>
    <row r="272" spans="3:7" x14ac:dyDescent="0.35">
      <c r="C272" s="68">
        <v>61300050</v>
      </c>
      <c r="D272" s="51" t="s">
        <v>246</v>
      </c>
      <c r="E272" s="51" t="s">
        <v>880</v>
      </c>
      <c r="F272" s="55" t="s">
        <v>273</v>
      </c>
      <c r="G272" s="69" t="s">
        <v>867</v>
      </c>
    </row>
    <row r="273" spans="3:7" x14ac:dyDescent="0.35">
      <c r="C273" s="68">
        <v>61300060</v>
      </c>
      <c r="D273" s="51" t="s">
        <v>247</v>
      </c>
      <c r="E273" s="51" t="s">
        <v>881</v>
      </c>
      <c r="F273" s="55" t="s">
        <v>273</v>
      </c>
      <c r="G273" s="69" t="s">
        <v>867</v>
      </c>
    </row>
    <row r="274" spans="3:7" x14ac:dyDescent="0.35">
      <c r="C274" s="68">
        <v>61300070</v>
      </c>
      <c r="D274" s="51" t="s">
        <v>248</v>
      </c>
      <c r="E274" s="51" t="s">
        <v>882</v>
      </c>
      <c r="F274" s="55" t="s">
        <v>273</v>
      </c>
      <c r="G274" s="69" t="s">
        <v>867</v>
      </c>
    </row>
    <row r="275" spans="3:7" x14ac:dyDescent="0.35">
      <c r="C275" s="68">
        <v>61300080</v>
      </c>
      <c r="D275" s="51" t="s">
        <v>249</v>
      </c>
      <c r="E275" s="51" t="s">
        <v>883</v>
      </c>
      <c r="F275" s="55" t="s">
        <v>273</v>
      </c>
      <c r="G275" s="69" t="s">
        <v>867</v>
      </c>
    </row>
    <row r="276" spans="3:7" x14ac:dyDescent="0.35">
      <c r="C276" s="68">
        <v>61300090</v>
      </c>
      <c r="D276" s="51" t="s">
        <v>250</v>
      </c>
      <c r="E276" s="51" t="s">
        <v>884</v>
      </c>
      <c r="F276" s="55" t="s">
        <v>273</v>
      </c>
      <c r="G276" s="69" t="s">
        <v>867</v>
      </c>
    </row>
    <row r="277" spans="3:7" x14ac:dyDescent="0.35">
      <c r="C277" s="68">
        <v>61400010</v>
      </c>
      <c r="D277" s="51" t="s">
        <v>71</v>
      </c>
      <c r="E277" s="51" t="s">
        <v>885</v>
      </c>
      <c r="F277" s="55" t="s">
        <v>274</v>
      </c>
      <c r="G277" s="69" t="s">
        <v>886</v>
      </c>
    </row>
    <row r="278" spans="3:7" x14ac:dyDescent="0.35">
      <c r="C278" s="68">
        <v>61400020</v>
      </c>
      <c r="D278" s="51" t="s">
        <v>251</v>
      </c>
      <c r="E278" s="51" t="s">
        <v>887</v>
      </c>
      <c r="F278" s="55" t="s">
        <v>274</v>
      </c>
      <c r="G278" s="69" t="s">
        <v>886</v>
      </c>
    </row>
    <row r="279" spans="3:7" x14ac:dyDescent="0.35">
      <c r="C279" s="68">
        <v>61400030</v>
      </c>
      <c r="D279" s="51" t="s">
        <v>252</v>
      </c>
      <c r="E279" s="51" t="s">
        <v>888</v>
      </c>
      <c r="F279" s="55" t="s">
        <v>274</v>
      </c>
      <c r="G279" s="69" t="s">
        <v>886</v>
      </c>
    </row>
    <row r="280" spans="3:7" x14ac:dyDescent="0.35">
      <c r="C280" s="68">
        <v>61500010</v>
      </c>
      <c r="D280" s="51" t="s">
        <v>72</v>
      </c>
      <c r="E280" s="51" t="s">
        <v>813</v>
      </c>
      <c r="F280" s="55" t="s">
        <v>275</v>
      </c>
      <c r="G280" s="69" t="s">
        <v>769</v>
      </c>
    </row>
    <row r="281" spans="3:7" x14ac:dyDescent="0.35">
      <c r="C281" s="68">
        <v>61500020</v>
      </c>
      <c r="D281" s="51" t="s">
        <v>73</v>
      </c>
      <c r="E281" s="51" t="s">
        <v>813</v>
      </c>
      <c r="F281" s="55" t="s">
        <v>275</v>
      </c>
      <c r="G281" s="69" t="s">
        <v>34</v>
      </c>
    </row>
    <row r="282" spans="3:7" ht="29" x14ac:dyDescent="0.35">
      <c r="C282" s="68">
        <v>61600010</v>
      </c>
      <c r="D282" s="51" t="s">
        <v>889</v>
      </c>
      <c r="E282" s="51" t="s">
        <v>890</v>
      </c>
      <c r="F282" s="55" t="s">
        <v>276</v>
      </c>
      <c r="G282" s="69" t="s">
        <v>59</v>
      </c>
    </row>
    <row r="283" spans="3:7" x14ac:dyDescent="0.35">
      <c r="C283" s="68">
        <v>61600030</v>
      </c>
      <c r="D283" s="51" t="s">
        <v>76</v>
      </c>
      <c r="E283" s="51" t="s">
        <v>891</v>
      </c>
      <c r="F283" s="55" t="s">
        <v>276</v>
      </c>
      <c r="G283" s="69" t="s">
        <v>59</v>
      </c>
    </row>
    <row r="284" spans="3:7" x14ac:dyDescent="0.35">
      <c r="C284" s="68">
        <v>61600040</v>
      </c>
      <c r="D284" s="51" t="s">
        <v>77</v>
      </c>
      <c r="E284" s="51" t="s">
        <v>892</v>
      </c>
      <c r="F284" s="55" t="s">
        <v>276</v>
      </c>
      <c r="G284" s="69" t="s">
        <v>90</v>
      </c>
    </row>
    <row r="285" spans="3:7" x14ac:dyDescent="0.35">
      <c r="C285" s="68">
        <v>61600050</v>
      </c>
      <c r="D285" s="51" t="s">
        <v>893</v>
      </c>
      <c r="E285" s="51" t="s">
        <v>894</v>
      </c>
      <c r="F285" s="55" t="s">
        <v>276</v>
      </c>
      <c r="G285" s="69" t="s">
        <v>90</v>
      </c>
    </row>
    <row r="286" spans="3:7" x14ac:dyDescent="0.35">
      <c r="C286" s="68">
        <v>61600060</v>
      </c>
      <c r="D286" s="51" t="s">
        <v>895</v>
      </c>
      <c r="E286" s="51" t="s">
        <v>896</v>
      </c>
      <c r="F286" s="55" t="s">
        <v>276</v>
      </c>
      <c r="G286" s="69" t="s">
        <v>34</v>
      </c>
    </row>
    <row r="287" spans="3:7" x14ac:dyDescent="0.35">
      <c r="C287" s="68">
        <v>61600070</v>
      </c>
      <c r="D287" s="51" t="s">
        <v>78</v>
      </c>
      <c r="E287" s="51" t="s">
        <v>1225</v>
      </c>
      <c r="F287" s="55" t="s">
        <v>276</v>
      </c>
      <c r="G287" s="69" t="s">
        <v>769</v>
      </c>
    </row>
    <row r="288" spans="3:7" x14ac:dyDescent="0.35">
      <c r="C288" s="68">
        <v>61700010</v>
      </c>
      <c r="D288" s="51" t="s">
        <v>79</v>
      </c>
      <c r="E288" s="51" t="s">
        <v>820</v>
      </c>
      <c r="F288" s="55" t="s">
        <v>277</v>
      </c>
      <c r="G288" s="69" t="s">
        <v>897</v>
      </c>
    </row>
    <row r="289" spans="3:7" x14ac:dyDescent="0.35">
      <c r="C289" s="68">
        <v>61700030</v>
      </c>
      <c r="D289" s="51" t="s">
        <v>80</v>
      </c>
      <c r="E289" s="51" t="s">
        <v>821</v>
      </c>
      <c r="F289" s="55" t="s">
        <v>277</v>
      </c>
      <c r="G289" s="69" t="s">
        <v>59</v>
      </c>
    </row>
    <row r="290" spans="3:7" x14ac:dyDescent="0.35">
      <c r="C290" s="68">
        <v>61700040</v>
      </c>
      <c r="D290" s="51" t="s">
        <v>81</v>
      </c>
      <c r="E290" s="51" t="s">
        <v>822</v>
      </c>
      <c r="F290" s="55" t="s">
        <v>277</v>
      </c>
      <c r="G290" s="69" t="s">
        <v>59</v>
      </c>
    </row>
    <row r="291" spans="3:7" x14ac:dyDescent="0.35">
      <c r="C291" s="68">
        <v>61700050</v>
      </c>
      <c r="D291" s="51" t="s">
        <v>82</v>
      </c>
      <c r="E291" s="51" t="s">
        <v>823</v>
      </c>
      <c r="F291" s="55" t="s">
        <v>277</v>
      </c>
      <c r="G291" s="69" t="s">
        <v>59</v>
      </c>
    </row>
    <row r="292" spans="3:7" x14ac:dyDescent="0.35">
      <c r="C292" s="68">
        <v>61700060</v>
      </c>
      <c r="D292" s="51" t="s">
        <v>898</v>
      </c>
      <c r="E292" s="51" t="s">
        <v>824</v>
      </c>
      <c r="F292" s="55" t="s">
        <v>277</v>
      </c>
      <c r="G292" s="69" t="s">
        <v>59</v>
      </c>
    </row>
    <row r="293" spans="3:7" x14ac:dyDescent="0.35">
      <c r="C293" s="68">
        <v>61700070</v>
      </c>
      <c r="D293" s="51" t="s">
        <v>84</v>
      </c>
      <c r="E293" s="51" t="s">
        <v>825</v>
      </c>
      <c r="F293" s="55" t="s">
        <v>277</v>
      </c>
      <c r="G293" s="69" t="s">
        <v>769</v>
      </c>
    </row>
    <row r="294" spans="3:7" x14ac:dyDescent="0.35">
      <c r="C294" s="68">
        <v>61800010</v>
      </c>
      <c r="D294" s="51" t="s">
        <v>85</v>
      </c>
      <c r="E294" s="51" t="s">
        <v>826</v>
      </c>
      <c r="F294" s="55" t="s">
        <v>290</v>
      </c>
      <c r="G294" s="69" t="s">
        <v>769</v>
      </c>
    </row>
    <row r="295" spans="3:7" x14ac:dyDescent="0.35">
      <c r="C295" s="68">
        <v>61800020</v>
      </c>
      <c r="D295" s="68" t="s">
        <v>86</v>
      </c>
      <c r="E295" s="68" t="s">
        <v>827</v>
      </c>
      <c r="F295" s="68" t="s">
        <v>290</v>
      </c>
      <c r="G295" s="69" t="s">
        <v>769</v>
      </c>
    </row>
    <row r="296" spans="3:7" x14ac:dyDescent="0.35">
      <c r="C296" s="68">
        <v>61800030</v>
      </c>
      <c r="D296" s="68" t="s">
        <v>87</v>
      </c>
      <c r="E296" s="68" t="s">
        <v>828</v>
      </c>
      <c r="F296" s="68" t="s">
        <v>290</v>
      </c>
      <c r="G296" s="69" t="s">
        <v>769</v>
      </c>
    </row>
    <row r="297" spans="3:7" x14ac:dyDescent="0.35">
      <c r="C297" s="68">
        <v>61800090</v>
      </c>
      <c r="D297" s="68" t="s">
        <v>88</v>
      </c>
      <c r="E297" s="68" t="s">
        <v>899</v>
      </c>
      <c r="F297" s="68" t="s">
        <v>290</v>
      </c>
      <c r="G297" s="69" t="s">
        <v>769</v>
      </c>
    </row>
    <row r="298" spans="3:7" x14ac:dyDescent="0.35">
      <c r="C298" s="68">
        <v>61900010</v>
      </c>
      <c r="D298" s="68" t="s">
        <v>89</v>
      </c>
      <c r="E298" s="68" t="s">
        <v>830</v>
      </c>
      <c r="F298" s="68" t="s">
        <v>227</v>
      </c>
      <c r="G298" s="69" t="s">
        <v>769</v>
      </c>
    </row>
    <row r="299" spans="3:7" x14ac:dyDescent="0.35">
      <c r="C299" s="68">
        <v>61900020</v>
      </c>
      <c r="D299" s="68" t="s">
        <v>91</v>
      </c>
      <c r="E299" s="68" t="s">
        <v>900</v>
      </c>
      <c r="F299" s="68" t="s">
        <v>227</v>
      </c>
      <c r="G299" s="69" t="s">
        <v>769</v>
      </c>
    </row>
    <row r="300" spans="3:7" x14ac:dyDescent="0.35">
      <c r="C300" s="68">
        <v>61900030</v>
      </c>
      <c r="D300" s="68" t="s">
        <v>92</v>
      </c>
      <c r="E300" s="68" t="s">
        <v>832</v>
      </c>
      <c r="F300" s="68" t="s">
        <v>227</v>
      </c>
      <c r="G300" s="69" t="s">
        <v>769</v>
      </c>
    </row>
    <row r="301" spans="3:7" x14ac:dyDescent="0.35">
      <c r="C301" s="68">
        <v>61900040</v>
      </c>
      <c r="D301" s="68" t="s">
        <v>93</v>
      </c>
      <c r="E301" s="68" t="s">
        <v>901</v>
      </c>
      <c r="F301" s="68" t="s">
        <v>227</v>
      </c>
      <c r="G301" s="69" t="s">
        <v>769</v>
      </c>
    </row>
    <row r="302" spans="3:7" x14ac:dyDescent="0.35">
      <c r="C302" s="68">
        <v>61900090</v>
      </c>
      <c r="D302" s="68" t="s">
        <v>94</v>
      </c>
      <c r="E302" s="68" t="s">
        <v>902</v>
      </c>
      <c r="F302" s="68" t="s">
        <v>227</v>
      </c>
      <c r="G302" s="69" t="s">
        <v>769</v>
      </c>
    </row>
    <row r="303" spans="3:7" x14ac:dyDescent="0.35">
      <c r="C303" s="68">
        <v>62000010</v>
      </c>
      <c r="D303" s="68" t="s">
        <v>95</v>
      </c>
      <c r="E303" s="68" t="s">
        <v>903</v>
      </c>
      <c r="F303" s="68" t="s">
        <v>279</v>
      </c>
      <c r="G303" s="68" t="s">
        <v>128</v>
      </c>
    </row>
    <row r="304" spans="3:7" x14ac:dyDescent="0.35">
      <c r="C304" s="68">
        <v>62000020</v>
      </c>
      <c r="D304" s="68" t="s">
        <v>96</v>
      </c>
      <c r="E304" s="68" t="s">
        <v>904</v>
      </c>
      <c r="F304" s="68" t="s">
        <v>279</v>
      </c>
      <c r="G304" s="68" t="s">
        <v>905</v>
      </c>
    </row>
    <row r="305" spans="3:7" x14ac:dyDescent="0.35">
      <c r="C305" s="68">
        <v>62000040</v>
      </c>
      <c r="D305" s="68" t="s">
        <v>97</v>
      </c>
      <c r="E305" s="68" t="s">
        <v>906</v>
      </c>
      <c r="F305" s="68" t="s">
        <v>279</v>
      </c>
      <c r="G305" s="69" t="s">
        <v>769</v>
      </c>
    </row>
    <row r="306" spans="3:7" x14ac:dyDescent="0.35">
      <c r="C306" s="68">
        <v>62100010</v>
      </c>
      <c r="D306" s="68" t="s">
        <v>98</v>
      </c>
      <c r="E306" s="68" t="s">
        <v>99</v>
      </c>
      <c r="F306" s="68" t="s">
        <v>280</v>
      </c>
      <c r="G306" s="68" t="s">
        <v>90</v>
      </c>
    </row>
    <row r="307" spans="3:7" x14ac:dyDescent="0.35">
      <c r="C307" s="68">
        <v>62100020</v>
      </c>
      <c r="D307" s="68" t="s">
        <v>100</v>
      </c>
      <c r="E307" s="68" t="s">
        <v>835</v>
      </c>
      <c r="F307" s="68" t="s">
        <v>280</v>
      </c>
      <c r="G307" s="68" t="s">
        <v>90</v>
      </c>
    </row>
    <row r="308" spans="3:7" x14ac:dyDescent="0.35">
      <c r="C308" s="68">
        <v>62100030</v>
      </c>
      <c r="D308" s="68" t="s">
        <v>101</v>
      </c>
      <c r="E308" s="68" t="s">
        <v>102</v>
      </c>
      <c r="F308" s="68" t="s">
        <v>280</v>
      </c>
      <c r="G308" s="68" t="s">
        <v>90</v>
      </c>
    </row>
    <row r="309" spans="3:7" x14ac:dyDescent="0.35">
      <c r="C309" s="68">
        <v>62100040</v>
      </c>
      <c r="D309" s="68" t="s">
        <v>103</v>
      </c>
      <c r="E309" s="68" t="s">
        <v>104</v>
      </c>
      <c r="F309" s="68" t="s">
        <v>280</v>
      </c>
      <c r="G309" s="68" t="s">
        <v>90</v>
      </c>
    </row>
    <row r="310" spans="3:7" x14ac:dyDescent="0.35">
      <c r="C310" s="68">
        <v>62100050</v>
      </c>
      <c r="D310" s="68" t="s">
        <v>254</v>
      </c>
      <c r="E310" s="68" t="s">
        <v>836</v>
      </c>
      <c r="F310" s="68" t="s">
        <v>280</v>
      </c>
      <c r="G310" s="68" t="s">
        <v>90</v>
      </c>
    </row>
    <row r="311" spans="3:7" ht="29" x14ac:dyDescent="0.35">
      <c r="C311" s="68">
        <v>62200010</v>
      </c>
      <c r="D311" s="68" t="s">
        <v>106</v>
      </c>
      <c r="E311" s="68" t="s">
        <v>107</v>
      </c>
      <c r="F311" s="68" t="s">
        <v>281</v>
      </c>
      <c r="G311" s="69" t="s">
        <v>769</v>
      </c>
    </row>
    <row r="312" spans="3:7" ht="29" x14ac:dyDescent="0.35">
      <c r="C312" s="68">
        <v>62200020</v>
      </c>
      <c r="D312" s="68" t="s">
        <v>108</v>
      </c>
      <c r="E312" s="68" t="s">
        <v>109</v>
      </c>
      <c r="F312" s="68" t="s">
        <v>281</v>
      </c>
      <c r="G312" s="69" t="s">
        <v>769</v>
      </c>
    </row>
    <row r="313" spans="3:7" x14ac:dyDescent="0.35">
      <c r="C313" s="68">
        <v>62300010</v>
      </c>
      <c r="D313" s="68" t="s">
        <v>110</v>
      </c>
      <c r="E313" s="68" t="s">
        <v>111</v>
      </c>
      <c r="F313" s="68" t="s">
        <v>282</v>
      </c>
      <c r="G313" s="69" t="s">
        <v>769</v>
      </c>
    </row>
    <row r="314" spans="3:7" ht="29" x14ac:dyDescent="0.35">
      <c r="C314" s="68">
        <v>62300020</v>
      </c>
      <c r="D314" s="68" t="s">
        <v>112</v>
      </c>
      <c r="E314" s="68" t="s">
        <v>113</v>
      </c>
      <c r="F314" s="68" t="s">
        <v>282</v>
      </c>
      <c r="G314" s="69" t="s">
        <v>769</v>
      </c>
    </row>
    <row r="315" spans="3:7" x14ac:dyDescent="0.35">
      <c r="C315" s="68">
        <v>62400030</v>
      </c>
      <c r="D315" s="68" t="s">
        <v>114</v>
      </c>
      <c r="E315" s="68" t="s">
        <v>115</v>
      </c>
      <c r="F315" s="68" t="s">
        <v>283</v>
      </c>
      <c r="G315" s="69" t="s">
        <v>769</v>
      </c>
    </row>
    <row r="316" spans="3:7" ht="29" x14ac:dyDescent="0.35">
      <c r="C316" s="68">
        <v>62400040</v>
      </c>
      <c r="D316" s="68" t="s">
        <v>116</v>
      </c>
      <c r="E316" s="68" t="s">
        <v>907</v>
      </c>
      <c r="F316" s="68" t="s">
        <v>283</v>
      </c>
      <c r="G316" s="69" t="s">
        <v>769</v>
      </c>
    </row>
    <row r="317" spans="3:7" x14ac:dyDescent="0.35">
      <c r="C317" s="68">
        <v>62400060</v>
      </c>
      <c r="D317" s="68" t="s">
        <v>255</v>
      </c>
      <c r="E317" s="68" t="s">
        <v>323</v>
      </c>
      <c r="F317" s="68" t="s">
        <v>283</v>
      </c>
      <c r="G317" s="68" t="s">
        <v>128</v>
      </c>
    </row>
    <row r="318" spans="3:7" x14ac:dyDescent="0.35">
      <c r="C318" s="68">
        <v>62500010</v>
      </c>
      <c r="D318" s="68" t="s">
        <v>117</v>
      </c>
      <c r="E318" s="68" t="s">
        <v>118</v>
      </c>
      <c r="F318" s="68" t="s">
        <v>117</v>
      </c>
      <c r="G318" s="68" t="s">
        <v>16</v>
      </c>
    </row>
    <row r="319" spans="3:7" ht="29" x14ac:dyDescent="0.35">
      <c r="C319" s="68">
        <v>62600010</v>
      </c>
      <c r="D319" s="68" t="s">
        <v>119</v>
      </c>
      <c r="E319" s="68" t="s">
        <v>908</v>
      </c>
      <c r="F319" s="68" t="s">
        <v>284</v>
      </c>
      <c r="G319" s="69" t="s">
        <v>769</v>
      </c>
    </row>
    <row r="320" spans="3:7" x14ac:dyDescent="0.35">
      <c r="C320" s="68">
        <v>62600020</v>
      </c>
      <c r="D320" s="68" t="s">
        <v>120</v>
      </c>
      <c r="E320" s="68" t="s">
        <v>909</v>
      </c>
      <c r="F320" s="68" t="s">
        <v>284</v>
      </c>
      <c r="G320" s="69" t="s">
        <v>769</v>
      </c>
    </row>
    <row r="321" spans="1:7" x14ac:dyDescent="0.35">
      <c r="C321" s="68">
        <v>62600030</v>
      </c>
      <c r="D321" s="68" t="s">
        <v>121</v>
      </c>
      <c r="E321" s="68" t="s">
        <v>910</v>
      </c>
      <c r="F321" s="68" t="s">
        <v>284</v>
      </c>
      <c r="G321" s="69" t="s">
        <v>769</v>
      </c>
    </row>
    <row r="322" spans="1:7" x14ac:dyDescent="0.35">
      <c r="C322" s="68">
        <v>62700010</v>
      </c>
      <c r="D322" s="68" t="s">
        <v>256</v>
      </c>
      <c r="E322" s="68" t="s">
        <v>911</v>
      </c>
      <c r="F322" s="68" t="s">
        <v>256</v>
      </c>
      <c r="G322" s="68" t="s">
        <v>128</v>
      </c>
    </row>
    <row r="323" spans="1:7" x14ac:dyDescent="0.35">
      <c r="C323" s="68">
        <v>62800010</v>
      </c>
      <c r="D323" s="68" t="s">
        <v>257</v>
      </c>
      <c r="E323" s="68" t="s">
        <v>912</v>
      </c>
      <c r="F323" s="68" t="s">
        <v>257</v>
      </c>
      <c r="G323" s="68" t="s">
        <v>130</v>
      </c>
    </row>
    <row r="324" spans="1:7" x14ac:dyDescent="0.35">
      <c r="C324" s="68">
        <v>62900010</v>
      </c>
      <c r="D324" s="68" t="s">
        <v>122</v>
      </c>
      <c r="E324" s="68" t="s">
        <v>123</v>
      </c>
      <c r="F324" s="68" t="s">
        <v>285</v>
      </c>
      <c r="G324" s="69" t="s">
        <v>769</v>
      </c>
    </row>
    <row r="325" spans="1:7" x14ac:dyDescent="0.35">
      <c r="C325" s="68">
        <v>62900020</v>
      </c>
      <c r="D325" s="68" t="s">
        <v>124</v>
      </c>
      <c r="E325" s="68" t="s">
        <v>125</v>
      </c>
      <c r="F325" s="68" t="s">
        <v>285</v>
      </c>
      <c r="G325" s="69" t="s">
        <v>769</v>
      </c>
    </row>
    <row r="326" spans="1:7" x14ac:dyDescent="0.35">
      <c r="C326" s="68">
        <v>63300010</v>
      </c>
      <c r="D326" s="68" t="s">
        <v>913</v>
      </c>
      <c r="E326" s="68" t="s">
        <v>914</v>
      </c>
      <c r="F326" s="68" t="s">
        <v>227</v>
      </c>
      <c r="G326" s="68"/>
    </row>
    <row r="327" spans="1:7" x14ac:dyDescent="0.35">
      <c r="C327" s="281">
        <v>63900010</v>
      </c>
      <c r="D327" s="60" t="s">
        <v>126</v>
      </c>
      <c r="E327" s="61" t="s">
        <v>1205</v>
      </c>
      <c r="F327" s="61" t="s">
        <v>293</v>
      </c>
      <c r="G327" s="61" t="s">
        <v>769</v>
      </c>
    </row>
    <row r="330" spans="1:7" s="271" customFormat="1" ht="16" x14ac:dyDescent="0.4">
      <c r="A330" s="297"/>
      <c r="B330" s="297"/>
      <c r="C330" s="272" t="s">
        <v>418</v>
      </c>
      <c r="D330" s="263" t="s">
        <v>319</v>
      </c>
    </row>
    <row r="331" spans="1:7" outlineLevel="1" x14ac:dyDescent="0.35"/>
    <row r="332" spans="1:7" outlineLevel="1" x14ac:dyDescent="0.35">
      <c r="C332" s="3" t="s">
        <v>751</v>
      </c>
    </row>
    <row r="333" spans="1:7" outlineLevel="1" x14ac:dyDescent="0.35"/>
    <row r="334" spans="1:7" outlineLevel="1" x14ac:dyDescent="0.35">
      <c r="B334" s="37" t="s">
        <v>752</v>
      </c>
      <c r="C334" s="37" t="s">
        <v>320</v>
      </c>
    </row>
    <row r="335" spans="1:7" outlineLevel="1" x14ac:dyDescent="0.35">
      <c r="C335" s="3" t="s">
        <v>536</v>
      </c>
    </row>
    <row r="336" spans="1:7" outlineLevel="1" x14ac:dyDescent="0.35"/>
    <row r="337" spans="2:5" outlineLevel="1" x14ac:dyDescent="0.35">
      <c r="B337" s="37" t="s">
        <v>753</v>
      </c>
      <c r="C337" s="37" t="s">
        <v>527</v>
      </c>
    </row>
    <row r="338" spans="2:5" outlineLevel="1" x14ac:dyDescent="0.35">
      <c r="C338" s="3" t="s">
        <v>321</v>
      </c>
    </row>
    <row r="339" spans="2:5" outlineLevel="1" x14ac:dyDescent="0.35">
      <c r="C339" s="3" t="s">
        <v>700</v>
      </c>
    </row>
    <row r="340" spans="2:5" outlineLevel="1" x14ac:dyDescent="0.35"/>
    <row r="341" spans="2:5" s="37" customFormat="1" outlineLevel="1" x14ac:dyDescent="0.35">
      <c r="B341" s="37" t="s">
        <v>754</v>
      </c>
      <c r="C341" s="37" t="s">
        <v>755</v>
      </c>
    </row>
    <row r="342" spans="2:5" outlineLevel="1" x14ac:dyDescent="0.35">
      <c r="C342" s="3" t="s">
        <v>756</v>
      </c>
    </row>
    <row r="343" spans="2:5" outlineLevel="1" x14ac:dyDescent="0.35">
      <c r="C343" s="3" t="s">
        <v>700</v>
      </c>
    </row>
    <row r="344" spans="2:5" outlineLevel="1" x14ac:dyDescent="0.35"/>
    <row r="345" spans="2:5" ht="87" outlineLevel="1" x14ac:dyDescent="0.35">
      <c r="C345" s="66" t="s">
        <v>322</v>
      </c>
      <c r="D345" s="67" t="s">
        <v>757</v>
      </c>
    </row>
    <row r="346" spans="2:5" outlineLevel="1" x14ac:dyDescent="0.35">
      <c r="C346" s="66" t="s">
        <v>262</v>
      </c>
      <c r="D346" s="67" t="s">
        <v>758</v>
      </c>
    </row>
    <row r="347" spans="2:5" ht="29" outlineLevel="1" x14ac:dyDescent="0.35">
      <c r="C347" s="66" t="s">
        <v>32</v>
      </c>
      <c r="D347" s="67" t="s">
        <v>1194</v>
      </c>
      <c r="E347" s="274" t="s">
        <v>1195</v>
      </c>
    </row>
    <row r="348" spans="2:5" ht="45.75" customHeight="1" outlineLevel="1" x14ac:dyDescent="0.35">
      <c r="C348" s="66" t="s">
        <v>261</v>
      </c>
      <c r="D348" s="67" t="s">
        <v>759</v>
      </c>
    </row>
    <row r="349" spans="2:5" ht="43.5" outlineLevel="1" x14ac:dyDescent="0.35">
      <c r="C349" s="66" t="s">
        <v>224</v>
      </c>
      <c r="D349" s="67" t="s">
        <v>760</v>
      </c>
    </row>
  </sheetData>
  <sheetProtection formatRows="0"/>
  <hyperlinks>
    <hyperlink ref="D28" location="Cover!A1" display="Cover" xr:uid="{0B2148D8-3DFD-4510-A30A-09D183B453BA}"/>
    <hyperlink ref="D125" location="'Budget Opex Detail'!A1" display="Budget Opex Detail" xr:uid="{2187A925-1DF4-40E0-AF8B-72A3979EA9FD}"/>
    <hyperlink ref="D330" location="'Activity Master Opex'!A1" display="Activity Master" xr:uid="{C3BA29A7-0197-4EA6-9535-245960844407}"/>
    <hyperlink ref="C80" location="'Asset determination'!A1" display="'Asset determination" xr:uid="{32BD8F83-E958-44AF-8B13-6D64E90A0571}"/>
    <hyperlink ref="E347" location="'Master Data'!A1" display="Master Data" xr:uid="{EA3AE6E6-6A67-47AF-804A-E11D4BCB95C9}"/>
    <hyperlink ref="D77" location="'Budget Capex Detail'!A1" display="Budget Capex Detail" xr:uid="{23AAA4A5-DB5A-4E98-BC34-BCF2B1063556}"/>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454B6-CFEB-4E98-BB1B-68CD84756A10}">
  <sheetPr codeName="Sheet12">
    <tabColor rgb="FF339966"/>
  </sheetPr>
  <dimension ref="A2:P349"/>
  <sheetViews>
    <sheetView showGridLines="0" topLeftCell="A131" zoomScale="80" zoomScaleNormal="80" workbookViewId="0">
      <selection activeCell="A136" sqref="A136"/>
    </sheetView>
  </sheetViews>
  <sheetFormatPr defaultColWidth="10.26953125" defaultRowHeight="14.5" outlineLevelRow="4" x14ac:dyDescent="0.35"/>
  <cols>
    <col min="1" max="1" width="0.81640625" style="3" customWidth="1"/>
    <col min="2" max="2" width="3.453125" style="3" bestFit="1" customWidth="1"/>
    <col min="3" max="3" width="45" style="3" bestFit="1" customWidth="1"/>
    <col min="4" max="4" width="70.7265625" style="3" bestFit="1" customWidth="1"/>
    <col min="5" max="5" width="68.7265625" style="3" customWidth="1"/>
    <col min="6" max="6" width="33" style="3" customWidth="1"/>
    <col min="7" max="7" width="31.7265625" style="3" customWidth="1"/>
    <col min="8" max="10" width="10.26953125" style="3"/>
    <col min="11" max="11" width="10.26953125" style="3" customWidth="1"/>
    <col min="12" max="16384" width="10.26953125" style="3"/>
  </cols>
  <sheetData>
    <row r="2" spans="2:16" ht="23.5" x14ac:dyDescent="0.55000000000000004">
      <c r="B2" s="2" t="s">
        <v>537</v>
      </c>
    </row>
    <row r="3" spans="2:16" ht="21" x14ac:dyDescent="0.5">
      <c r="B3" s="4"/>
    </row>
    <row r="4" spans="2:16" ht="19" thickBot="1" x14ac:dyDescent="0.5">
      <c r="B4" s="276" t="s">
        <v>515</v>
      </c>
      <c r="C4" s="5"/>
      <c r="D4" s="6"/>
      <c r="E4" s="5"/>
      <c r="F4" s="5"/>
      <c r="G4" s="5"/>
      <c r="H4" s="5"/>
      <c r="I4" s="5"/>
      <c r="J4" s="5"/>
      <c r="K4" s="5"/>
      <c r="L4" s="5"/>
      <c r="M4" s="5"/>
      <c r="N4" s="5"/>
      <c r="O4" s="5"/>
      <c r="P4" s="5"/>
    </row>
    <row r="5" spans="2:16" x14ac:dyDescent="0.35">
      <c r="B5" s="7"/>
      <c r="D5" s="8"/>
    </row>
    <row r="6" spans="2:16" x14ac:dyDescent="0.35">
      <c r="B6" s="3">
        <v>1</v>
      </c>
      <c r="C6" s="9" t="s">
        <v>915</v>
      </c>
    </row>
    <row r="7" spans="2:16" x14ac:dyDescent="0.35">
      <c r="B7" s="3">
        <v>2</v>
      </c>
      <c r="C7" s="9" t="s">
        <v>916</v>
      </c>
    </row>
    <row r="8" spans="2:16" x14ac:dyDescent="0.35">
      <c r="B8" s="10" t="s">
        <v>1</v>
      </c>
      <c r="C8" s="9" t="s">
        <v>917</v>
      </c>
    </row>
    <row r="9" spans="2:16" x14ac:dyDescent="0.35">
      <c r="B9" s="10" t="s">
        <v>1</v>
      </c>
      <c r="C9" s="9" t="s">
        <v>918</v>
      </c>
    </row>
    <row r="10" spans="2:16" x14ac:dyDescent="0.35">
      <c r="B10" s="10" t="s">
        <v>1</v>
      </c>
      <c r="C10" s="9" t="s">
        <v>919</v>
      </c>
    </row>
    <row r="11" spans="2:16" x14ac:dyDescent="0.35">
      <c r="B11" s="10" t="s">
        <v>1</v>
      </c>
      <c r="C11" s="9" t="s">
        <v>920</v>
      </c>
    </row>
    <row r="12" spans="2:16" x14ac:dyDescent="0.35">
      <c r="B12" s="10" t="s">
        <v>1</v>
      </c>
      <c r="C12" s="9" t="s">
        <v>921</v>
      </c>
    </row>
    <row r="13" spans="2:16" x14ac:dyDescent="0.35">
      <c r="B13" s="3">
        <v>3</v>
      </c>
      <c r="C13" s="72" t="s">
        <v>922</v>
      </c>
    </row>
    <row r="14" spans="2:16" x14ac:dyDescent="0.35">
      <c r="B14" s="3">
        <v>4</v>
      </c>
      <c r="C14" s="3" t="s">
        <v>923</v>
      </c>
    </row>
    <row r="15" spans="2:16" x14ac:dyDescent="0.35">
      <c r="B15" s="3">
        <v>5</v>
      </c>
      <c r="C15" s="3" t="s">
        <v>924</v>
      </c>
    </row>
    <row r="16" spans="2:16" x14ac:dyDescent="0.35">
      <c r="B16" s="3">
        <v>6</v>
      </c>
      <c r="C16" s="3" t="s">
        <v>1226</v>
      </c>
    </row>
    <row r="18" spans="1:16" ht="19" thickBot="1" x14ac:dyDescent="0.5">
      <c r="B18" s="276" t="s">
        <v>925</v>
      </c>
      <c r="C18" s="5"/>
      <c r="D18" s="6"/>
      <c r="E18" s="5"/>
      <c r="F18" s="5"/>
      <c r="G18" s="5"/>
      <c r="H18" s="5"/>
      <c r="I18" s="5"/>
      <c r="J18" s="5"/>
      <c r="K18" s="5"/>
      <c r="L18" s="5"/>
      <c r="M18" s="5"/>
      <c r="N18" s="5"/>
      <c r="O18" s="5"/>
      <c r="P18" s="5"/>
    </row>
    <row r="20" spans="1:16" x14ac:dyDescent="0.35">
      <c r="B20" s="3">
        <v>1</v>
      </c>
      <c r="C20" s="3" t="s">
        <v>926</v>
      </c>
    </row>
    <row r="21" spans="1:16" x14ac:dyDescent="0.35">
      <c r="C21" s="11" t="s">
        <v>5</v>
      </c>
    </row>
    <row r="22" spans="1:16" x14ac:dyDescent="0.35">
      <c r="C22" s="11" t="s">
        <v>927</v>
      </c>
    </row>
    <row r="23" spans="1:16" x14ac:dyDescent="0.35">
      <c r="C23" s="11" t="s">
        <v>928</v>
      </c>
    </row>
    <row r="24" spans="1:16" x14ac:dyDescent="0.35">
      <c r="C24" s="11" t="s">
        <v>929</v>
      </c>
    </row>
    <row r="25" spans="1:16" x14ac:dyDescent="0.35">
      <c r="B25" s="3">
        <v>2</v>
      </c>
      <c r="C25" s="3" t="s">
        <v>930</v>
      </c>
    </row>
    <row r="26" spans="1:16" x14ac:dyDescent="0.35">
      <c r="B26" s="3">
        <v>3</v>
      </c>
      <c r="C26" s="3" t="s">
        <v>931</v>
      </c>
    </row>
    <row r="28" spans="1:16" s="264" customFormat="1" ht="16" x14ac:dyDescent="0.4">
      <c r="A28" s="291"/>
      <c r="B28" s="291"/>
      <c r="C28" s="265" t="s">
        <v>6</v>
      </c>
      <c r="D28" s="266" t="s">
        <v>7</v>
      </c>
    </row>
    <row r="30" spans="1:16" x14ac:dyDescent="0.35">
      <c r="C30" s="3" t="s">
        <v>932</v>
      </c>
    </row>
    <row r="31" spans="1:16" outlineLevel="1" x14ac:dyDescent="0.35"/>
    <row r="32" spans="1:16" outlineLevel="1" x14ac:dyDescent="0.35">
      <c r="C32" s="12" t="s">
        <v>9</v>
      </c>
      <c r="D32" s="13" t="s">
        <v>933</v>
      </c>
    </row>
    <row r="33" spans="3:4" ht="58" outlineLevel="1" x14ac:dyDescent="0.35">
      <c r="C33" s="14" t="s">
        <v>11</v>
      </c>
      <c r="D33" s="15" t="s">
        <v>934</v>
      </c>
    </row>
    <row r="34" spans="3:4" outlineLevel="1" x14ac:dyDescent="0.35">
      <c r="C34" s="14" t="s">
        <v>127</v>
      </c>
      <c r="D34" s="15" t="s">
        <v>935</v>
      </c>
    </row>
    <row r="35" spans="3:4" outlineLevel="1" x14ac:dyDescent="0.35">
      <c r="C35" s="14" t="s">
        <v>689</v>
      </c>
      <c r="D35" s="15" t="s">
        <v>936</v>
      </c>
    </row>
    <row r="36" spans="3:4" outlineLevel="1" x14ac:dyDescent="0.35"/>
    <row r="37" spans="3:4" ht="33" customHeight="1" outlineLevel="1" x14ac:dyDescent="0.35">
      <c r="C37" s="16" t="s">
        <v>532</v>
      </c>
      <c r="D37" s="16" t="s">
        <v>533</v>
      </c>
    </row>
    <row r="38" spans="3:4" outlineLevel="2" x14ac:dyDescent="0.35">
      <c r="C38" s="17" t="s">
        <v>693</v>
      </c>
      <c r="D38" s="17" t="s">
        <v>689</v>
      </c>
    </row>
    <row r="39" spans="3:4" outlineLevel="2" x14ac:dyDescent="0.35">
      <c r="C39" s="18" t="s">
        <v>604</v>
      </c>
      <c r="D39" s="18" t="s">
        <v>404</v>
      </c>
    </row>
    <row r="40" spans="3:4" outlineLevel="2" x14ac:dyDescent="0.35">
      <c r="C40" s="18" t="s">
        <v>604</v>
      </c>
      <c r="D40" s="18" t="s">
        <v>400</v>
      </c>
    </row>
    <row r="41" spans="3:4" outlineLevel="2" x14ac:dyDescent="0.35">
      <c r="C41" s="18" t="s">
        <v>604</v>
      </c>
      <c r="D41" s="18" t="s">
        <v>401</v>
      </c>
    </row>
    <row r="42" spans="3:4" outlineLevel="2" x14ac:dyDescent="0.35">
      <c r="C42" s="18" t="s">
        <v>605</v>
      </c>
      <c r="D42" s="18" t="s">
        <v>694</v>
      </c>
    </row>
    <row r="43" spans="3:4" outlineLevel="2" x14ac:dyDescent="0.35">
      <c r="C43" s="18" t="s">
        <v>605</v>
      </c>
      <c r="D43" s="18" t="s">
        <v>695</v>
      </c>
    </row>
    <row r="44" spans="3:4" outlineLevel="2" x14ac:dyDescent="0.35">
      <c r="C44" s="18" t="s">
        <v>605</v>
      </c>
      <c r="D44" s="18" t="s">
        <v>380</v>
      </c>
    </row>
    <row r="45" spans="3:4" outlineLevel="2" x14ac:dyDescent="0.35">
      <c r="C45" s="18" t="s">
        <v>605</v>
      </c>
      <c r="D45" s="18" t="s">
        <v>442</v>
      </c>
    </row>
    <row r="46" spans="3:4" outlineLevel="2" x14ac:dyDescent="0.35">
      <c r="C46" s="18" t="s">
        <v>605</v>
      </c>
      <c r="D46" s="18" t="s">
        <v>406</v>
      </c>
    </row>
    <row r="47" spans="3:4" outlineLevel="2" x14ac:dyDescent="0.35">
      <c r="C47" s="13" t="s">
        <v>696</v>
      </c>
      <c r="D47" s="13" t="s">
        <v>22</v>
      </c>
    </row>
    <row r="48" spans="3:4" outlineLevel="2" x14ac:dyDescent="0.35">
      <c r="C48" s="13" t="s">
        <v>696</v>
      </c>
      <c r="D48" s="13" t="s">
        <v>21</v>
      </c>
    </row>
    <row r="49" spans="3:4" outlineLevel="2" x14ac:dyDescent="0.35">
      <c r="C49" s="13" t="s">
        <v>16</v>
      </c>
      <c r="D49" s="13" t="s">
        <v>180</v>
      </c>
    </row>
    <row r="50" spans="3:4" outlineLevel="2" x14ac:dyDescent="0.35">
      <c r="C50" s="13" t="str">
        <f>C49</f>
        <v>HSE</v>
      </c>
      <c r="D50" s="13" t="s">
        <v>181</v>
      </c>
    </row>
    <row r="51" spans="3:4" outlineLevel="2" x14ac:dyDescent="0.35">
      <c r="C51" s="13" t="s">
        <v>328</v>
      </c>
      <c r="D51" s="13" t="s">
        <v>128</v>
      </c>
    </row>
    <row r="52" spans="3:4" outlineLevel="2" x14ac:dyDescent="0.35">
      <c r="C52" s="13" t="s">
        <v>328</v>
      </c>
      <c r="D52" s="13" t="s">
        <v>24</v>
      </c>
    </row>
    <row r="53" spans="3:4" outlineLevel="2" x14ac:dyDescent="0.35">
      <c r="C53" s="13" t="s">
        <v>602</v>
      </c>
      <c r="D53" s="13" t="s">
        <v>135</v>
      </c>
    </row>
    <row r="54" spans="3:4" outlineLevel="2" x14ac:dyDescent="0.35">
      <c r="C54" s="13" t="s">
        <v>602</v>
      </c>
      <c r="D54" s="13" t="s">
        <v>17</v>
      </c>
    </row>
    <row r="55" spans="3:4" outlineLevel="2" x14ac:dyDescent="0.35">
      <c r="C55" s="13" t="s">
        <v>602</v>
      </c>
      <c r="D55" s="13" t="s">
        <v>14</v>
      </c>
    </row>
    <row r="56" spans="3:4" outlineLevel="2" x14ac:dyDescent="0.35">
      <c r="C56" s="13" t="s">
        <v>602</v>
      </c>
      <c r="D56" s="13" t="s">
        <v>15</v>
      </c>
    </row>
    <row r="57" spans="3:4" outlineLevel="2" x14ac:dyDescent="0.35">
      <c r="C57" s="13" t="s">
        <v>602</v>
      </c>
      <c r="D57" s="13" t="s">
        <v>619</v>
      </c>
    </row>
    <row r="58" spans="3:4" outlineLevel="2" x14ac:dyDescent="0.35">
      <c r="C58" s="13" t="s">
        <v>602</v>
      </c>
      <c r="D58" s="13" t="s">
        <v>1220</v>
      </c>
    </row>
    <row r="59" spans="3:4" outlineLevel="2" x14ac:dyDescent="0.35">
      <c r="C59" s="13" t="s">
        <v>603</v>
      </c>
      <c r="D59" s="13" t="s">
        <v>612</v>
      </c>
    </row>
    <row r="60" spans="3:4" outlineLevel="2" x14ac:dyDescent="0.35">
      <c r="C60" s="13" t="s">
        <v>603</v>
      </c>
      <c r="D60" s="13" t="s">
        <v>1190</v>
      </c>
    </row>
    <row r="61" spans="3:4" outlineLevel="2" x14ac:dyDescent="0.35">
      <c r="C61" s="13" t="s">
        <v>603</v>
      </c>
      <c r="D61" s="13" t="s">
        <v>1191</v>
      </c>
    </row>
    <row r="62" spans="3:4" outlineLevel="2" x14ac:dyDescent="0.35">
      <c r="C62" s="13" t="s">
        <v>1192</v>
      </c>
      <c r="D62" s="13" t="s">
        <v>905</v>
      </c>
    </row>
    <row r="63" spans="3:4" outlineLevel="2" x14ac:dyDescent="0.35">
      <c r="C63" s="13" t="s">
        <v>1192</v>
      </c>
      <c r="D63" s="13" t="s">
        <v>331</v>
      </c>
    </row>
    <row r="64" spans="3:4" outlineLevel="2" x14ac:dyDescent="0.35">
      <c r="C64" s="13" t="s">
        <v>129</v>
      </c>
      <c r="D64" s="13" t="s">
        <v>1221</v>
      </c>
    </row>
    <row r="65" spans="1:4" outlineLevel="2" x14ac:dyDescent="0.35">
      <c r="C65" s="13" t="s">
        <v>129</v>
      </c>
      <c r="D65" s="13" t="s">
        <v>697</v>
      </c>
    </row>
    <row r="66" spans="1:4" outlineLevel="2" x14ac:dyDescent="0.35">
      <c r="C66" s="13" t="s">
        <v>129</v>
      </c>
      <c r="D66" s="13" t="s">
        <v>1222</v>
      </c>
    </row>
    <row r="67" spans="1:4" outlineLevel="2" x14ac:dyDescent="0.35">
      <c r="C67" s="13" t="s">
        <v>329</v>
      </c>
      <c r="D67" s="13" t="s">
        <v>1166</v>
      </c>
    </row>
    <row r="68" spans="1:4" outlineLevel="2" x14ac:dyDescent="0.35">
      <c r="C68" s="13" t="s">
        <v>329</v>
      </c>
      <c r="D68" s="13" t="s">
        <v>18</v>
      </c>
    </row>
    <row r="69" spans="1:4" outlineLevel="2" x14ac:dyDescent="0.35">
      <c r="C69" s="13" t="s">
        <v>329</v>
      </c>
      <c r="D69" s="13" t="s">
        <v>19</v>
      </c>
    </row>
    <row r="70" spans="1:4" outlineLevel="2" x14ac:dyDescent="0.35">
      <c r="C70" s="13" t="s">
        <v>329</v>
      </c>
      <c r="D70" s="13" t="s">
        <v>20</v>
      </c>
    </row>
    <row r="71" spans="1:4" outlineLevel="2" x14ac:dyDescent="0.35">
      <c r="C71" s="19" t="s">
        <v>131</v>
      </c>
      <c r="D71" s="13" t="s">
        <v>330</v>
      </c>
    </row>
    <row r="72" spans="1:4" outlineLevel="2" x14ac:dyDescent="0.35">
      <c r="C72" s="13" t="s">
        <v>131</v>
      </c>
      <c r="D72" s="13" t="s">
        <v>25</v>
      </c>
    </row>
    <row r="73" spans="1:4" outlineLevel="2" x14ac:dyDescent="0.35">
      <c r="C73" s="13" t="s">
        <v>131</v>
      </c>
      <c r="D73" s="13" t="s">
        <v>26</v>
      </c>
    </row>
    <row r="74" spans="1:4" outlineLevel="1" x14ac:dyDescent="0.35"/>
    <row r="75" spans="1:4" outlineLevel="1" x14ac:dyDescent="0.35">
      <c r="C75" s="3" t="s">
        <v>937</v>
      </c>
    </row>
    <row r="77" spans="1:4" s="264" customFormat="1" ht="16" x14ac:dyDescent="0.4">
      <c r="A77" s="291"/>
      <c r="B77" s="291"/>
      <c r="C77" s="265" t="s">
        <v>512</v>
      </c>
      <c r="D77" s="273" t="s">
        <v>1193</v>
      </c>
    </row>
    <row r="79" spans="1:4" x14ac:dyDescent="0.35">
      <c r="C79" s="3" t="s">
        <v>938</v>
      </c>
    </row>
    <row r="80" spans="1:4" x14ac:dyDescent="0.35">
      <c r="C80" s="262" t="s">
        <v>699</v>
      </c>
      <c r="D80" s="20"/>
    </row>
    <row r="81" spans="3:4" outlineLevel="1" x14ac:dyDescent="0.35">
      <c r="C81" s="3" t="s">
        <v>939</v>
      </c>
    </row>
    <row r="82" spans="3:4" outlineLevel="1" x14ac:dyDescent="0.35">
      <c r="C82" s="3" t="s">
        <v>940</v>
      </c>
    </row>
    <row r="83" spans="3:4" outlineLevel="1" x14ac:dyDescent="0.35"/>
    <row r="84" spans="3:4" outlineLevel="1" x14ac:dyDescent="0.35">
      <c r="C84" s="17" t="s">
        <v>701</v>
      </c>
      <c r="D84" s="17" t="s">
        <v>702</v>
      </c>
    </row>
    <row r="85" spans="3:4" ht="66.75" customHeight="1" outlineLevel="1" x14ac:dyDescent="0.35">
      <c r="C85" s="21" t="s">
        <v>409</v>
      </c>
      <c r="D85" s="22" t="s">
        <v>941</v>
      </c>
    </row>
    <row r="86" spans="3:4" ht="43.5" outlineLevel="1" x14ac:dyDescent="0.35">
      <c r="C86" s="21" t="s">
        <v>225</v>
      </c>
      <c r="D86" s="23" t="s">
        <v>942</v>
      </c>
    </row>
    <row r="87" spans="3:4" ht="72.5" outlineLevel="1" x14ac:dyDescent="0.35">
      <c r="C87" s="24" t="s">
        <v>410</v>
      </c>
      <c r="D87" s="25" t="s">
        <v>943</v>
      </c>
    </row>
    <row r="88" spans="3:4" ht="33" customHeight="1" outlineLevel="1" x14ac:dyDescent="0.35">
      <c r="C88" s="26" t="s">
        <v>412</v>
      </c>
      <c r="D88" s="27" t="s">
        <v>944</v>
      </c>
    </row>
    <row r="89" spans="3:4" ht="153.75" customHeight="1" outlineLevel="1" x14ac:dyDescent="0.35">
      <c r="C89" s="28"/>
      <c r="D89" s="29" t="e" vm="1">
        <v>#VALUE!</v>
      </c>
    </row>
    <row r="90" spans="3:4" ht="58" outlineLevel="1" x14ac:dyDescent="0.35">
      <c r="C90" s="30" t="s">
        <v>525</v>
      </c>
      <c r="D90" s="31" t="s">
        <v>945</v>
      </c>
    </row>
    <row r="91" spans="3:4" outlineLevel="1" x14ac:dyDescent="0.35">
      <c r="C91" s="32" t="s">
        <v>707</v>
      </c>
      <c r="D91" s="33" t="s">
        <v>946</v>
      </c>
    </row>
    <row r="92" spans="3:4" outlineLevel="1" x14ac:dyDescent="0.35">
      <c r="C92" s="32" t="s">
        <v>709</v>
      </c>
      <c r="D92" s="33" t="s">
        <v>947</v>
      </c>
    </row>
    <row r="93" spans="3:4" outlineLevel="1" x14ac:dyDescent="0.35">
      <c r="C93" s="32" t="s">
        <v>1235</v>
      </c>
      <c r="D93" s="33" t="s">
        <v>948</v>
      </c>
    </row>
    <row r="94" spans="3:4" ht="58" outlineLevel="1" x14ac:dyDescent="0.35">
      <c r="C94" s="34" t="s">
        <v>334</v>
      </c>
      <c r="D94" s="23" t="s">
        <v>949</v>
      </c>
    </row>
    <row r="95" spans="3:4" outlineLevel="1" x14ac:dyDescent="0.35">
      <c r="C95" s="34" t="s">
        <v>335</v>
      </c>
      <c r="D95" s="35" t="s">
        <v>950</v>
      </c>
    </row>
    <row r="96" spans="3:4" outlineLevel="1" x14ac:dyDescent="0.35">
      <c r="C96" s="34" t="s">
        <v>513</v>
      </c>
      <c r="D96" s="35" t="s">
        <v>951</v>
      </c>
    </row>
    <row r="97" spans="3:6" outlineLevel="1" x14ac:dyDescent="0.35">
      <c r="C97" s="34" t="s">
        <v>441</v>
      </c>
      <c r="D97" s="35" t="s">
        <v>952</v>
      </c>
    </row>
    <row r="98" spans="3:6" outlineLevel="1" x14ac:dyDescent="0.35">
      <c r="C98" s="34" t="s">
        <v>427</v>
      </c>
      <c r="D98" s="35" t="s">
        <v>953</v>
      </c>
    </row>
    <row r="99" spans="3:6" outlineLevel="1" x14ac:dyDescent="0.35">
      <c r="C99" s="34" t="s">
        <v>954</v>
      </c>
      <c r="D99" s="35" t="s">
        <v>516</v>
      </c>
    </row>
    <row r="100" spans="3:6" outlineLevel="1" x14ac:dyDescent="0.35">
      <c r="C100" s="34" t="s">
        <v>955</v>
      </c>
      <c r="D100" s="35" t="s">
        <v>517</v>
      </c>
    </row>
    <row r="101" spans="3:6" outlineLevel="1" x14ac:dyDescent="0.35">
      <c r="C101" s="36" t="s">
        <v>717</v>
      </c>
      <c r="D101" s="35" t="s">
        <v>956</v>
      </c>
    </row>
    <row r="102" spans="3:6" outlineLevel="1" x14ac:dyDescent="0.35">
      <c r="C102" s="34" t="s">
        <v>518</v>
      </c>
      <c r="D102" s="35" t="s">
        <v>957</v>
      </c>
    </row>
    <row r="103" spans="3:6" outlineLevel="1" x14ac:dyDescent="0.35"/>
    <row r="104" spans="3:6" outlineLevel="1" x14ac:dyDescent="0.35">
      <c r="C104" s="37" t="s">
        <v>958</v>
      </c>
    </row>
    <row r="105" spans="3:6" outlineLevel="2" x14ac:dyDescent="0.35">
      <c r="C105" s="38" t="s">
        <v>29</v>
      </c>
      <c r="D105" s="17" t="s">
        <v>30</v>
      </c>
      <c r="E105" s="39" t="s">
        <v>959</v>
      </c>
      <c r="F105" s="40"/>
    </row>
    <row r="106" spans="3:6" outlineLevel="2" x14ac:dyDescent="0.35">
      <c r="C106" s="41" t="s">
        <v>398</v>
      </c>
      <c r="D106" s="42"/>
      <c r="E106" s="43"/>
      <c r="F106" s="44"/>
    </row>
    <row r="107" spans="3:6" outlineLevel="2" x14ac:dyDescent="0.35">
      <c r="C107" s="45">
        <v>15000000</v>
      </c>
      <c r="D107" s="46" t="s">
        <v>383</v>
      </c>
      <c r="E107" s="47" t="s">
        <v>960</v>
      </c>
      <c r="F107" s="48"/>
    </row>
    <row r="108" spans="3:6" ht="43.5" outlineLevel="2" x14ac:dyDescent="0.35">
      <c r="C108" s="49">
        <v>15000010</v>
      </c>
      <c r="D108" s="50" t="s">
        <v>384</v>
      </c>
      <c r="E108" s="51" t="s">
        <v>961</v>
      </c>
      <c r="F108" s="52"/>
    </row>
    <row r="109" spans="3:6" ht="29" outlineLevel="2" x14ac:dyDescent="0.35">
      <c r="C109" s="49">
        <v>15000020</v>
      </c>
      <c r="D109" s="50" t="s">
        <v>385</v>
      </c>
      <c r="E109" s="51" t="s">
        <v>962</v>
      </c>
      <c r="F109" s="52"/>
    </row>
    <row r="110" spans="3:6" ht="29" outlineLevel="2" x14ac:dyDescent="0.35">
      <c r="C110" s="49">
        <v>15000030</v>
      </c>
      <c r="D110" s="50" t="s">
        <v>386</v>
      </c>
      <c r="E110" s="51" t="s">
        <v>963</v>
      </c>
      <c r="F110" s="52"/>
    </row>
    <row r="111" spans="3:6" ht="29" outlineLevel="2" x14ac:dyDescent="0.35">
      <c r="C111" s="49">
        <v>15000040</v>
      </c>
      <c r="D111" s="50" t="s">
        <v>387</v>
      </c>
      <c r="E111" s="51" t="s">
        <v>964</v>
      </c>
      <c r="F111" s="52"/>
    </row>
    <row r="112" spans="3:6" ht="29" outlineLevel="2" x14ac:dyDescent="0.35">
      <c r="C112" s="49">
        <v>15000050</v>
      </c>
      <c r="D112" s="50" t="s">
        <v>388</v>
      </c>
      <c r="E112" s="51" t="s">
        <v>965</v>
      </c>
      <c r="F112" s="52"/>
    </row>
    <row r="113" spans="1:6" ht="29" outlineLevel="2" x14ac:dyDescent="0.35">
      <c r="C113" s="49">
        <v>15000060</v>
      </c>
      <c r="D113" s="50" t="s">
        <v>389</v>
      </c>
      <c r="E113" s="51" t="s">
        <v>966</v>
      </c>
      <c r="F113" s="52"/>
    </row>
    <row r="114" spans="1:6" ht="29" outlineLevel="2" x14ac:dyDescent="0.35">
      <c r="C114" s="53">
        <v>15000070</v>
      </c>
      <c r="D114" s="54" t="s">
        <v>390</v>
      </c>
      <c r="E114" s="55" t="s">
        <v>967</v>
      </c>
      <c r="F114" s="52"/>
    </row>
    <row r="115" spans="1:6" ht="16.5" customHeight="1" outlineLevel="2" x14ac:dyDescent="0.35">
      <c r="C115" s="53">
        <v>15000080</v>
      </c>
      <c r="D115" s="54" t="s">
        <v>391</v>
      </c>
      <c r="E115" s="55" t="s">
        <v>968</v>
      </c>
      <c r="F115" s="52"/>
    </row>
    <row r="116" spans="1:6" ht="29" outlineLevel="2" x14ac:dyDescent="0.35">
      <c r="C116" s="53">
        <v>15200000</v>
      </c>
      <c r="D116" s="54" t="s">
        <v>392</v>
      </c>
      <c r="E116" s="55" t="s">
        <v>969</v>
      </c>
      <c r="F116" s="48"/>
    </row>
    <row r="117" spans="1:6" outlineLevel="2" x14ac:dyDescent="0.35">
      <c r="C117" s="56" t="s">
        <v>970</v>
      </c>
      <c r="D117" s="57"/>
      <c r="E117" s="58"/>
      <c r="F117" s="44"/>
    </row>
    <row r="118" spans="1:6" ht="43.5" outlineLevel="2" x14ac:dyDescent="0.35">
      <c r="C118" s="53">
        <v>15020010</v>
      </c>
      <c r="D118" s="54" t="s">
        <v>393</v>
      </c>
      <c r="E118" s="55" t="s">
        <v>971</v>
      </c>
      <c r="F118" s="52"/>
    </row>
    <row r="119" spans="1:6" ht="43.5" outlineLevel="2" x14ac:dyDescent="0.35">
      <c r="C119" s="53">
        <v>15020020</v>
      </c>
      <c r="D119" s="54" t="s">
        <v>394</v>
      </c>
      <c r="E119" s="55" t="s">
        <v>972</v>
      </c>
      <c r="F119" s="52"/>
    </row>
    <row r="120" spans="1:6" ht="29" outlineLevel="2" x14ac:dyDescent="0.35">
      <c r="C120" s="53">
        <v>15020030</v>
      </c>
      <c r="D120" s="54" t="s">
        <v>395</v>
      </c>
      <c r="E120" s="55" t="s">
        <v>973</v>
      </c>
      <c r="F120" s="52"/>
    </row>
    <row r="121" spans="1:6" ht="29" outlineLevel="2" x14ac:dyDescent="0.35">
      <c r="C121" s="53">
        <v>15020040</v>
      </c>
      <c r="D121" s="54" t="s">
        <v>396</v>
      </c>
      <c r="E121" s="55" t="s">
        <v>974</v>
      </c>
      <c r="F121" s="52"/>
    </row>
    <row r="122" spans="1:6" outlineLevel="2" x14ac:dyDescent="0.35">
      <c r="C122" s="53">
        <v>15020080</v>
      </c>
      <c r="D122" s="54" t="s">
        <v>397</v>
      </c>
      <c r="E122" s="55" t="s">
        <v>975</v>
      </c>
      <c r="F122" s="52"/>
    </row>
    <row r="123" spans="1:6" ht="43.5" outlineLevel="2" x14ac:dyDescent="0.35">
      <c r="C123" s="59">
        <v>15020090</v>
      </c>
      <c r="D123" s="60" t="s">
        <v>417</v>
      </c>
      <c r="E123" s="61" t="s">
        <v>976</v>
      </c>
      <c r="F123" s="52"/>
    </row>
    <row r="124" spans="1:6" outlineLevel="2" x14ac:dyDescent="0.35">
      <c r="C124" s="267"/>
      <c r="D124" s="48"/>
      <c r="E124" s="52"/>
      <c r="F124" s="52"/>
    </row>
    <row r="125" spans="1:6" s="270" customFormat="1" ht="16" x14ac:dyDescent="0.4">
      <c r="A125" s="293"/>
      <c r="B125" s="293"/>
      <c r="C125" s="268" t="s">
        <v>1198</v>
      </c>
      <c r="D125" s="269" t="s">
        <v>318</v>
      </c>
    </row>
    <row r="127" spans="1:6" outlineLevel="1" x14ac:dyDescent="0.35">
      <c r="C127" s="3" t="s">
        <v>977</v>
      </c>
    </row>
    <row r="128" spans="1:6" outlineLevel="1" x14ac:dyDescent="0.35">
      <c r="C128" s="3" t="s">
        <v>978</v>
      </c>
    </row>
    <row r="129" spans="3:6" outlineLevel="1" x14ac:dyDescent="0.35">
      <c r="C129" s="3" t="s">
        <v>979</v>
      </c>
    </row>
    <row r="130" spans="3:6" outlineLevel="1" x14ac:dyDescent="0.35"/>
    <row r="131" spans="3:6" outlineLevel="1" x14ac:dyDescent="0.35">
      <c r="C131" s="277" t="s">
        <v>1202</v>
      </c>
      <c r="D131" s="277"/>
      <c r="E131" s="277" t="s">
        <v>1203</v>
      </c>
      <c r="F131" s="277"/>
    </row>
    <row r="132" spans="3:6" ht="58" outlineLevel="1" x14ac:dyDescent="0.35">
      <c r="C132" s="62" t="s">
        <v>259</v>
      </c>
      <c r="D132" s="63" t="s">
        <v>980</v>
      </c>
      <c r="E132" s="62" t="s">
        <v>399</v>
      </c>
      <c r="F132" s="63" t="s">
        <v>1204</v>
      </c>
    </row>
    <row r="133" spans="3:6" ht="49.5" customHeight="1" outlineLevel="1" x14ac:dyDescent="0.35">
      <c r="C133" s="62" t="s">
        <v>263</v>
      </c>
      <c r="D133" s="63" t="s">
        <v>981</v>
      </c>
      <c r="E133" s="278"/>
      <c r="F133" s="279"/>
    </row>
    <row r="134" spans="3:6" ht="43.5" outlineLevel="1" x14ac:dyDescent="0.35">
      <c r="C134" s="64" t="s">
        <v>534</v>
      </c>
      <c r="D134" s="65" t="s">
        <v>982</v>
      </c>
      <c r="E134" s="280"/>
      <c r="F134" s="279"/>
    </row>
    <row r="135" spans="3:6" ht="58" outlineLevel="1" x14ac:dyDescent="0.35">
      <c r="C135" s="64" t="s">
        <v>740</v>
      </c>
      <c r="D135" s="65" t="s">
        <v>983</v>
      </c>
      <c r="E135" s="64" t="s">
        <v>740</v>
      </c>
      <c r="F135" s="65" t="s">
        <v>983</v>
      </c>
    </row>
    <row r="136" spans="3:6" ht="58" outlineLevel="1" x14ac:dyDescent="0.35">
      <c r="C136" s="62" t="s">
        <v>525</v>
      </c>
      <c r="D136" s="63" t="s">
        <v>984</v>
      </c>
      <c r="E136" s="62" t="s">
        <v>525</v>
      </c>
      <c r="F136" s="63" t="s">
        <v>984</v>
      </c>
    </row>
    <row r="137" spans="3:6" ht="15" customHeight="1" outlineLevel="1" x14ac:dyDescent="0.35">
      <c r="C137" s="62" t="s">
        <v>535</v>
      </c>
      <c r="D137" s="63" t="s">
        <v>985</v>
      </c>
      <c r="E137" s="62" t="s">
        <v>535</v>
      </c>
      <c r="F137" s="63" t="s">
        <v>985</v>
      </c>
    </row>
    <row r="138" spans="3:6" ht="130.5" outlineLevel="1" x14ac:dyDescent="0.35">
      <c r="C138" s="66" t="s">
        <v>312</v>
      </c>
      <c r="D138" s="63" t="s">
        <v>986</v>
      </c>
      <c r="E138" s="66" t="s">
        <v>312</v>
      </c>
      <c r="F138" s="63" t="s">
        <v>986</v>
      </c>
    </row>
    <row r="139" spans="3:6" ht="130.5" outlineLevel="1" x14ac:dyDescent="0.35">
      <c r="C139" s="66" t="s">
        <v>313</v>
      </c>
      <c r="D139" s="67" t="s">
        <v>987</v>
      </c>
      <c r="E139" s="66" t="s">
        <v>313</v>
      </c>
      <c r="F139" s="67" t="s">
        <v>987</v>
      </c>
    </row>
    <row r="140" spans="3:6" ht="29" outlineLevel="1" x14ac:dyDescent="0.35">
      <c r="C140" s="66" t="s">
        <v>314</v>
      </c>
      <c r="D140" s="67" t="s">
        <v>988</v>
      </c>
      <c r="E140" s="66" t="s">
        <v>314</v>
      </c>
      <c r="F140" s="67" t="s">
        <v>988</v>
      </c>
    </row>
    <row r="141" spans="3:6" ht="43.5" outlineLevel="1" x14ac:dyDescent="0.35">
      <c r="C141" s="66" t="s">
        <v>316</v>
      </c>
      <c r="D141" s="67" t="s">
        <v>989</v>
      </c>
      <c r="E141" s="66" t="s">
        <v>316</v>
      </c>
      <c r="F141" s="67" t="s">
        <v>989</v>
      </c>
    </row>
    <row r="142" spans="3:6" ht="43.5" outlineLevel="1" x14ac:dyDescent="0.35">
      <c r="C142" s="66" t="s">
        <v>226</v>
      </c>
      <c r="D142" s="67" t="s">
        <v>990</v>
      </c>
      <c r="E142" s="66" t="s">
        <v>226</v>
      </c>
      <c r="F142" s="67" t="s">
        <v>990</v>
      </c>
    </row>
    <row r="143" spans="3:6" ht="58" outlineLevel="1" x14ac:dyDescent="0.35">
      <c r="C143" s="66" t="s">
        <v>315</v>
      </c>
      <c r="D143" s="67" t="s">
        <v>991</v>
      </c>
      <c r="E143" s="66" t="s">
        <v>315</v>
      </c>
      <c r="F143" s="67" t="s">
        <v>991</v>
      </c>
    </row>
    <row r="144" spans="3:6" ht="58" outlineLevel="1" x14ac:dyDescent="0.35">
      <c r="C144" s="66" t="s">
        <v>671</v>
      </c>
      <c r="D144" s="67" t="s">
        <v>992</v>
      </c>
      <c r="E144" s="66" t="s">
        <v>671</v>
      </c>
      <c r="F144" s="67" t="s">
        <v>992</v>
      </c>
    </row>
    <row r="145" spans="3:14" outlineLevel="1" x14ac:dyDescent="0.35"/>
    <row r="147" spans="3:14" x14ac:dyDescent="0.35">
      <c r="C147" s="37" t="s">
        <v>761</v>
      </c>
    </row>
    <row r="148" spans="3:14" outlineLevel="2" x14ac:dyDescent="0.35">
      <c r="C148" s="17" t="s">
        <v>762</v>
      </c>
      <c r="D148" s="17" t="s">
        <v>763</v>
      </c>
      <c r="E148" s="39" t="s">
        <v>764</v>
      </c>
      <c r="F148" s="39" t="s">
        <v>765</v>
      </c>
      <c r="G148" s="73" t="s">
        <v>766</v>
      </c>
      <c r="H148" s="74"/>
      <c r="L148" s="75"/>
      <c r="M148" s="75"/>
      <c r="N148" s="75"/>
    </row>
    <row r="149" spans="3:14" outlineLevel="4" x14ac:dyDescent="0.35">
      <c r="C149" s="68">
        <v>50200010</v>
      </c>
      <c r="D149" s="51" t="s">
        <v>767</v>
      </c>
      <c r="E149" s="51" t="s">
        <v>1003</v>
      </c>
      <c r="F149" s="69" t="s">
        <v>265</v>
      </c>
      <c r="G149" s="76" t="s">
        <v>769</v>
      </c>
      <c r="H149" s="77"/>
      <c r="L149" s="275"/>
      <c r="M149" s="275"/>
      <c r="N149" s="275"/>
    </row>
    <row r="150" spans="3:14" outlineLevel="4" x14ac:dyDescent="0.35">
      <c r="C150" s="68">
        <v>50300010</v>
      </c>
      <c r="D150" s="51" t="s">
        <v>33</v>
      </c>
      <c r="E150" s="51" t="s">
        <v>1004</v>
      </c>
      <c r="F150" s="70" t="s">
        <v>266</v>
      </c>
      <c r="G150" s="78" t="s">
        <v>34</v>
      </c>
      <c r="H150" s="77"/>
      <c r="L150" s="275"/>
      <c r="M150" s="275"/>
      <c r="N150" s="275"/>
    </row>
    <row r="151" spans="3:14" outlineLevel="4" x14ac:dyDescent="0.35">
      <c r="C151" s="68">
        <v>50300020</v>
      </c>
      <c r="D151" s="51" t="s">
        <v>35</v>
      </c>
      <c r="E151" s="51" t="s">
        <v>1005</v>
      </c>
      <c r="F151" s="51" t="s">
        <v>266</v>
      </c>
      <c r="G151" s="78" t="s">
        <v>34</v>
      </c>
      <c r="H151" s="77"/>
      <c r="L151" s="275"/>
      <c r="M151" s="275"/>
      <c r="N151" s="275"/>
    </row>
    <row r="152" spans="3:14" outlineLevel="4" x14ac:dyDescent="0.35">
      <c r="C152" s="68">
        <v>50300030</v>
      </c>
      <c r="D152" s="51" t="s">
        <v>36</v>
      </c>
      <c r="E152" s="51" t="s">
        <v>1006</v>
      </c>
      <c r="F152" s="51" t="s">
        <v>266</v>
      </c>
      <c r="G152" s="78" t="s">
        <v>34</v>
      </c>
      <c r="H152" s="77"/>
      <c r="L152" s="275"/>
      <c r="M152" s="275"/>
      <c r="N152" s="275"/>
    </row>
    <row r="153" spans="3:14" outlineLevel="4" x14ac:dyDescent="0.35">
      <c r="C153" s="68">
        <v>50300040</v>
      </c>
      <c r="D153" s="51" t="s">
        <v>37</v>
      </c>
      <c r="E153" s="51" t="s">
        <v>1007</v>
      </c>
      <c r="F153" s="51" t="s">
        <v>266</v>
      </c>
      <c r="G153" s="78" t="s">
        <v>34</v>
      </c>
      <c r="H153" s="77"/>
      <c r="L153" s="275"/>
      <c r="M153" s="275"/>
      <c r="N153" s="275"/>
    </row>
    <row r="154" spans="3:14" outlineLevel="4" x14ac:dyDescent="0.35">
      <c r="C154" s="68">
        <v>50300050</v>
      </c>
      <c r="D154" s="51" t="s">
        <v>38</v>
      </c>
      <c r="E154" s="51" t="s">
        <v>1008</v>
      </c>
      <c r="F154" s="51" t="s">
        <v>266</v>
      </c>
      <c r="G154" s="78" t="s">
        <v>34</v>
      </c>
      <c r="H154" s="77"/>
      <c r="L154" s="275"/>
      <c r="M154" s="275"/>
      <c r="N154" s="275"/>
    </row>
    <row r="155" spans="3:14" outlineLevel="4" x14ac:dyDescent="0.35">
      <c r="C155" s="68">
        <v>50300060</v>
      </c>
      <c r="D155" s="51" t="s">
        <v>775</v>
      </c>
      <c r="E155" s="51" t="s">
        <v>1009</v>
      </c>
      <c r="F155" s="51" t="s">
        <v>266</v>
      </c>
      <c r="G155" s="78" t="s">
        <v>34</v>
      </c>
      <c r="H155" s="77"/>
      <c r="L155" s="275"/>
      <c r="M155" s="275"/>
      <c r="N155" s="275"/>
    </row>
    <row r="156" spans="3:14" outlineLevel="4" x14ac:dyDescent="0.35">
      <c r="C156" s="68">
        <v>50300070</v>
      </c>
      <c r="D156" s="51" t="s">
        <v>310</v>
      </c>
      <c r="E156" s="51" t="s">
        <v>1010</v>
      </c>
      <c r="F156" s="55" t="s">
        <v>266</v>
      </c>
      <c r="G156" s="78" t="s">
        <v>34</v>
      </c>
      <c r="H156" s="77"/>
      <c r="L156" s="275"/>
      <c r="M156" s="275"/>
      <c r="N156" s="275"/>
    </row>
    <row r="157" spans="3:14" outlineLevel="4" x14ac:dyDescent="0.35">
      <c r="C157" s="68">
        <v>50300080</v>
      </c>
      <c r="D157" s="51" t="s">
        <v>39</v>
      </c>
      <c r="E157" s="51" t="s">
        <v>1011</v>
      </c>
      <c r="F157" s="55" t="s">
        <v>266</v>
      </c>
      <c r="G157" s="78" t="s">
        <v>34</v>
      </c>
      <c r="H157" s="77"/>
      <c r="L157" s="275"/>
      <c r="M157" s="275"/>
      <c r="N157" s="275"/>
    </row>
    <row r="158" spans="3:14" outlineLevel="4" x14ac:dyDescent="0.35">
      <c r="C158" s="68">
        <v>50300090</v>
      </c>
      <c r="D158" s="51" t="s">
        <v>40</v>
      </c>
      <c r="E158" s="51" t="s">
        <v>1012</v>
      </c>
      <c r="F158" s="55" t="s">
        <v>266</v>
      </c>
      <c r="G158" s="78" t="s">
        <v>34</v>
      </c>
      <c r="H158" s="77"/>
      <c r="L158" s="275"/>
      <c r="M158" s="275"/>
      <c r="N158" s="275"/>
    </row>
    <row r="159" spans="3:14" outlineLevel="4" x14ac:dyDescent="0.35">
      <c r="C159" s="68">
        <v>50300100</v>
      </c>
      <c r="D159" s="51" t="s">
        <v>41</v>
      </c>
      <c r="E159" s="51" t="s">
        <v>1013</v>
      </c>
      <c r="F159" s="55" t="s">
        <v>266</v>
      </c>
      <c r="G159" s="78" t="s">
        <v>34</v>
      </c>
      <c r="H159" s="77"/>
      <c r="L159" s="275"/>
      <c r="M159" s="275"/>
      <c r="N159" s="275"/>
    </row>
    <row r="160" spans="3:14" outlineLevel="4" x14ac:dyDescent="0.35">
      <c r="C160" s="68">
        <v>50300110</v>
      </c>
      <c r="D160" s="51" t="s">
        <v>781</v>
      </c>
      <c r="E160" s="51" t="s">
        <v>1014</v>
      </c>
      <c r="F160" s="55" t="s">
        <v>266</v>
      </c>
      <c r="G160" s="78" t="s">
        <v>34</v>
      </c>
      <c r="H160" s="77"/>
      <c r="L160" s="275"/>
      <c r="M160" s="275"/>
      <c r="N160" s="275"/>
    </row>
    <row r="161" spans="3:14" outlineLevel="4" x14ac:dyDescent="0.35">
      <c r="C161" s="68">
        <v>50300120</v>
      </c>
      <c r="D161" s="51" t="s">
        <v>783</v>
      </c>
      <c r="E161" s="51" t="s">
        <v>1015</v>
      </c>
      <c r="F161" s="55" t="s">
        <v>266</v>
      </c>
      <c r="G161" s="78" t="s">
        <v>34</v>
      </c>
      <c r="H161" s="77"/>
      <c r="L161" s="275"/>
      <c r="M161" s="275"/>
      <c r="N161" s="275"/>
    </row>
    <row r="162" spans="3:14" outlineLevel="4" x14ac:dyDescent="0.35">
      <c r="C162" s="68">
        <v>50300990</v>
      </c>
      <c r="D162" s="51" t="s">
        <v>42</v>
      </c>
      <c r="E162" s="51" t="s">
        <v>1016</v>
      </c>
      <c r="F162" s="55" t="s">
        <v>266</v>
      </c>
      <c r="G162" s="78" t="s">
        <v>34</v>
      </c>
      <c r="H162" s="77"/>
      <c r="L162" s="275"/>
      <c r="M162" s="275"/>
      <c r="N162" s="275"/>
    </row>
    <row r="163" spans="3:14" outlineLevel="4" x14ac:dyDescent="0.35">
      <c r="C163" s="68">
        <v>50400010</v>
      </c>
      <c r="D163" s="51" t="s">
        <v>786</v>
      </c>
      <c r="E163" s="51" t="s">
        <v>1017</v>
      </c>
      <c r="F163" s="55" t="s">
        <v>267</v>
      </c>
      <c r="G163" s="78" t="s">
        <v>34</v>
      </c>
      <c r="H163" s="77"/>
      <c r="L163" s="275"/>
      <c r="M163" s="275"/>
      <c r="N163" s="275"/>
    </row>
    <row r="164" spans="3:14" outlineLevel="4" x14ac:dyDescent="0.35">
      <c r="C164" s="68">
        <v>50500010</v>
      </c>
      <c r="D164" s="51" t="s">
        <v>788</v>
      </c>
      <c r="E164" s="51" t="s">
        <v>1018</v>
      </c>
      <c r="F164" s="55" t="s">
        <v>268</v>
      </c>
      <c r="G164" s="76" t="s">
        <v>769</v>
      </c>
      <c r="H164" s="77"/>
      <c r="L164" s="275"/>
      <c r="M164" s="275"/>
      <c r="N164" s="275"/>
    </row>
    <row r="165" spans="3:14" outlineLevel="4" x14ac:dyDescent="0.35">
      <c r="C165" s="68">
        <v>50500020</v>
      </c>
      <c r="D165" s="51" t="s">
        <v>311</v>
      </c>
      <c r="E165" s="51" t="s">
        <v>1019</v>
      </c>
      <c r="F165" s="55" t="s">
        <v>268</v>
      </c>
      <c r="G165" s="76" t="s">
        <v>769</v>
      </c>
      <c r="H165" s="77"/>
      <c r="L165" s="275"/>
      <c r="M165" s="275"/>
      <c r="N165" s="275"/>
    </row>
    <row r="166" spans="3:14" outlineLevel="4" x14ac:dyDescent="0.35">
      <c r="C166" s="68">
        <v>50500030</v>
      </c>
      <c r="D166" s="51" t="s">
        <v>791</v>
      </c>
      <c r="E166" s="51" t="s">
        <v>1020</v>
      </c>
      <c r="F166" s="55" t="s">
        <v>268</v>
      </c>
      <c r="G166" s="76" t="s">
        <v>769</v>
      </c>
      <c r="H166" s="77"/>
      <c r="L166" s="275"/>
      <c r="M166" s="275"/>
      <c r="N166" s="275"/>
    </row>
    <row r="167" spans="3:14" outlineLevel="4" x14ac:dyDescent="0.35">
      <c r="C167" s="68">
        <v>50500040</v>
      </c>
      <c r="D167" s="51" t="s">
        <v>60</v>
      </c>
      <c r="E167" s="51" t="s">
        <v>1021</v>
      </c>
      <c r="F167" s="55" t="s">
        <v>268</v>
      </c>
      <c r="G167" s="76" t="s">
        <v>769</v>
      </c>
      <c r="H167" s="77"/>
      <c r="L167" s="275"/>
      <c r="M167" s="275"/>
      <c r="N167" s="275"/>
    </row>
    <row r="168" spans="3:14" outlineLevel="4" x14ac:dyDescent="0.35">
      <c r="C168" s="68">
        <v>50600010</v>
      </c>
      <c r="D168" s="51" t="s">
        <v>228</v>
      </c>
      <c r="E168" s="51" t="s">
        <v>1022</v>
      </c>
      <c r="F168" s="55" t="s">
        <v>269</v>
      </c>
      <c r="G168" s="76" t="s">
        <v>769</v>
      </c>
      <c r="H168" s="77"/>
      <c r="L168" s="275"/>
      <c r="M168" s="275"/>
      <c r="N168" s="275"/>
    </row>
    <row r="169" spans="3:14" outlineLevel="4" x14ac:dyDescent="0.35">
      <c r="C169" s="68">
        <v>50600020</v>
      </c>
      <c r="D169" s="51" t="s">
        <v>229</v>
      </c>
      <c r="E169" s="51" t="s">
        <v>1023</v>
      </c>
      <c r="F169" s="55" t="s">
        <v>269</v>
      </c>
      <c r="G169" s="76" t="s">
        <v>769</v>
      </c>
      <c r="H169" s="77"/>
      <c r="L169" s="275"/>
      <c r="M169" s="275"/>
      <c r="N169" s="275"/>
    </row>
    <row r="170" spans="3:14" outlineLevel="4" x14ac:dyDescent="0.35">
      <c r="C170" s="68">
        <v>50600030</v>
      </c>
      <c r="D170" s="51" t="s">
        <v>795</v>
      </c>
      <c r="E170" s="51" t="s">
        <v>1024</v>
      </c>
      <c r="F170" s="55" t="s">
        <v>269</v>
      </c>
      <c r="G170" s="76" t="s">
        <v>769</v>
      </c>
      <c r="H170" s="77"/>
      <c r="L170" s="275"/>
      <c r="M170" s="275"/>
      <c r="N170" s="275"/>
    </row>
    <row r="171" spans="3:14" outlineLevel="4" x14ac:dyDescent="0.35">
      <c r="C171" s="68">
        <v>50600040</v>
      </c>
      <c r="D171" s="51" t="s">
        <v>231</v>
      </c>
      <c r="E171" s="51" t="s">
        <v>1025</v>
      </c>
      <c r="F171" s="55" t="s">
        <v>269</v>
      </c>
      <c r="G171" s="76" t="s">
        <v>769</v>
      </c>
      <c r="H171" s="77"/>
      <c r="L171" s="275"/>
      <c r="M171" s="275"/>
      <c r="N171" s="275"/>
    </row>
    <row r="172" spans="3:14" outlineLevel="4" x14ac:dyDescent="0.35">
      <c r="C172" s="68">
        <v>50800010</v>
      </c>
      <c r="D172" s="51" t="s">
        <v>798</v>
      </c>
      <c r="E172" s="51" t="s">
        <v>1026</v>
      </c>
      <c r="F172" s="55" t="s">
        <v>270</v>
      </c>
      <c r="G172" s="76" t="s">
        <v>769</v>
      </c>
      <c r="H172" s="77"/>
      <c r="L172" s="275"/>
      <c r="M172" s="275"/>
      <c r="N172" s="275"/>
    </row>
    <row r="173" spans="3:14" outlineLevel="4" x14ac:dyDescent="0.35">
      <c r="C173" s="68">
        <v>50800020</v>
      </c>
      <c r="D173" s="51" t="s">
        <v>64</v>
      </c>
      <c r="E173" s="51" t="s">
        <v>1027</v>
      </c>
      <c r="F173" s="55" t="s">
        <v>270</v>
      </c>
      <c r="G173" s="76" t="s">
        <v>769</v>
      </c>
      <c r="H173" s="77"/>
      <c r="L173" s="275"/>
      <c r="M173" s="275"/>
      <c r="N173" s="275"/>
    </row>
    <row r="174" spans="3:14" outlineLevel="4" x14ac:dyDescent="0.35">
      <c r="C174" s="68">
        <v>50800030</v>
      </c>
      <c r="D174" s="51" t="s">
        <v>65</v>
      </c>
      <c r="E174" s="51" t="s">
        <v>1028</v>
      </c>
      <c r="F174" s="55" t="s">
        <v>270</v>
      </c>
      <c r="G174" s="76" t="s">
        <v>769</v>
      </c>
      <c r="H174" s="77"/>
      <c r="L174" s="275"/>
      <c r="M174" s="275"/>
      <c r="N174" s="275"/>
    </row>
    <row r="175" spans="3:14" outlineLevel="4" x14ac:dyDescent="0.35">
      <c r="C175" s="68">
        <v>50800040</v>
      </c>
      <c r="D175" s="51" t="s">
        <v>66</v>
      </c>
      <c r="E175" s="51" t="s">
        <v>1029</v>
      </c>
      <c r="F175" s="55" t="s">
        <v>270</v>
      </c>
      <c r="G175" s="76" t="s">
        <v>769</v>
      </c>
      <c r="H175" s="77"/>
      <c r="L175" s="275"/>
      <c r="M175" s="275"/>
      <c r="N175" s="275"/>
    </row>
    <row r="176" spans="3:14" outlineLevel="4" x14ac:dyDescent="0.35">
      <c r="C176" s="68">
        <v>50800050</v>
      </c>
      <c r="D176" s="51" t="s">
        <v>67</v>
      </c>
      <c r="E176" s="51" t="s">
        <v>1030</v>
      </c>
      <c r="F176" s="55" t="s">
        <v>270</v>
      </c>
      <c r="G176" s="76" t="s">
        <v>769</v>
      </c>
      <c r="H176" s="77"/>
      <c r="L176" s="275"/>
      <c r="M176" s="275"/>
      <c r="N176" s="275"/>
    </row>
    <row r="177" spans="3:14" outlineLevel="4" x14ac:dyDescent="0.35">
      <c r="C177" s="68">
        <v>50800060</v>
      </c>
      <c r="D177" s="51" t="s">
        <v>68</v>
      </c>
      <c r="E177" s="51" t="s">
        <v>1031</v>
      </c>
      <c r="F177" s="55" t="s">
        <v>270</v>
      </c>
      <c r="G177" s="76" t="s">
        <v>769</v>
      </c>
      <c r="H177" s="77"/>
      <c r="L177" s="275"/>
      <c r="M177" s="275"/>
      <c r="N177" s="275"/>
    </row>
    <row r="178" spans="3:14" outlineLevel="4" x14ac:dyDescent="0.35">
      <c r="C178" s="68">
        <v>50800070</v>
      </c>
      <c r="D178" s="51" t="s">
        <v>69</v>
      </c>
      <c r="E178" s="51" t="s">
        <v>1032</v>
      </c>
      <c r="F178" s="55" t="s">
        <v>270</v>
      </c>
      <c r="G178" s="76" t="s">
        <v>769</v>
      </c>
      <c r="H178" s="77"/>
      <c r="L178" s="275"/>
      <c r="M178" s="275"/>
      <c r="N178" s="275"/>
    </row>
    <row r="179" spans="3:14" outlineLevel="4" x14ac:dyDescent="0.35">
      <c r="C179" s="68">
        <v>51100000</v>
      </c>
      <c r="D179" s="51" t="s">
        <v>232</v>
      </c>
      <c r="E179" s="51" t="s">
        <v>1033</v>
      </c>
      <c r="F179" s="55" t="s">
        <v>271</v>
      </c>
      <c r="G179" s="76" t="s">
        <v>769</v>
      </c>
      <c r="H179" s="77"/>
      <c r="L179" s="275"/>
      <c r="M179" s="275"/>
      <c r="N179" s="275"/>
    </row>
    <row r="180" spans="3:14" outlineLevel="4" x14ac:dyDescent="0.35">
      <c r="C180" s="68">
        <v>51300010</v>
      </c>
      <c r="D180" s="51" t="s">
        <v>242</v>
      </c>
      <c r="E180" s="51" t="s">
        <v>1034</v>
      </c>
      <c r="F180" s="55" t="s">
        <v>273</v>
      </c>
      <c r="G180" s="79" t="s">
        <v>139</v>
      </c>
      <c r="H180" s="77"/>
      <c r="L180" s="275"/>
      <c r="M180" s="275"/>
      <c r="N180" s="275"/>
    </row>
    <row r="181" spans="3:14" outlineLevel="4" x14ac:dyDescent="0.35">
      <c r="C181" s="68">
        <v>51300040</v>
      </c>
      <c r="D181" s="51" t="s">
        <v>245</v>
      </c>
      <c r="E181" s="51" t="s">
        <v>1035</v>
      </c>
      <c r="F181" s="55" t="s">
        <v>273</v>
      </c>
      <c r="G181" s="79" t="s">
        <v>139</v>
      </c>
      <c r="H181" s="77"/>
      <c r="L181" s="275"/>
      <c r="M181" s="275"/>
      <c r="N181" s="275"/>
    </row>
    <row r="182" spans="3:14" outlineLevel="4" x14ac:dyDescent="0.35">
      <c r="C182" s="68">
        <v>51300050</v>
      </c>
      <c r="D182" s="51" t="s">
        <v>246</v>
      </c>
      <c r="E182" s="51" t="s">
        <v>1036</v>
      </c>
      <c r="F182" s="55" t="s">
        <v>273</v>
      </c>
      <c r="G182" s="79" t="s">
        <v>139</v>
      </c>
      <c r="H182" s="77"/>
      <c r="L182" s="275"/>
      <c r="M182" s="275"/>
      <c r="N182" s="275"/>
    </row>
    <row r="183" spans="3:14" outlineLevel="4" x14ac:dyDescent="0.35">
      <c r="C183" s="68">
        <v>51300060</v>
      </c>
      <c r="D183" s="51" t="s">
        <v>247</v>
      </c>
      <c r="E183" s="51" t="s">
        <v>1037</v>
      </c>
      <c r="F183" s="55" t="s">
        <v>273</v>
      </c>
      <c r="G183" s="79" t="s">
        <v>139</v>
      </c>
      <c r="H183" s="77"/>
      <c r="L183" s="275"/>
      <c r="M183" s="275"/>
      <c r="N183" s="275"/>
    </row>
    <row r="184" spans="3:14" outlineLevel="4" x14ac:dyDescent="0.35">
      <c r="C184" s="68">
        <v>51300090</v>
      </c>
      <c r="D184" s="51" t="s">
        <v>250</v>
      </c>
      <c r="E184" s="51" t="s">
        <v>1038</v>
      </c>
      <c r="F184" s="55" t="s">
        <v>273</v>
      </c>
      <c r="G184" s="79" t="s">
        <v>139</v>
      </c>
      <c r="H184" s="77"/>
      <c r="L184" s="275"/>
      <c r="M184" s="275"/>
      <c r="N184" s="275"/>
    </row>
    <row r="185" spans="3:14" outlineLevel="4" x14ac:dyDescent="0.35">
      <c r="C185" s="68">
        <v>51500010</v>
      </c>
      <c r="D185" s="51" t="s">
        <v>812</v>
      </c>
      <c r="E185" s="51" t="s">
        <v>1039</v>
      </c>
      <c r="F185" s="55" t="s">
        <v>275</v>
      </c>
      <c r="G185" s="76" t="s">
        <v>769</v>
      </c>
      <c r="H185" s="77"/>
      <c r="L185" s="275"/>
      <c r="M185" s="275"/>
      <c r="N185" s="275"/>
    </row>
    <row r="186" spans="3:14" outlineLevel="4" x14ac:dyDescent="0.35">
      <c r="C186" s="68">
        <v>51600010</v>
      </c>
      <c r="D186" s="51" t="s">
        <v>74</v>
      </c>
      <c r="E186" s="51" t="s">
        <v>1040</v>
      </c>
      <c r="F186" s="55" t="s">
        <v>276</v>
      </c>
      <c r="G186" s="76" t="s">
        <v>769</v>
      </c>
      <c r="H186" s="77"/>
      <c r="L186" s="275"/>
      <c r="M186" s="275"/>
      <c r="N186" s="275"/>
    </row>
    <row r="187" spans="3:14" outlineLevel="4" x14ac:dyDescent="0.35">
      <c r="C187" s="68">
        <v>51600020</v>
      </c>
      <c r="D187" s="51" t="s">
        <v>75</v>
      </c>
      <c r="E187" s="51" t="s">
        <v>1041</v>
      </c>
      <c r="F187" s="55" t="s">
        <v>276</v>
      </c>
      <c r="G187" s="76" t="s">
        <v>769</v>
      </c>
      <c r="H187" s="77"/>
      <c r="L187" s="275"/>
      <c r="M187" s="275"/>
      <c r="N187" s="275"/>
    </row>
    <row r="188" spans="3:14" outlineLevel="4" x14ac:dyDescent="0.35">
      <c r="C188" s="68">
        <v>51600030</v>
      </c>
      <c r="D188" s="51" t="s">
        <v>76</v>
      </c>
      <c r="E188" s="51" t="s">
        <v>1042</v>
      </c>
      <c r="F188" s="55" t="s">
        <v>276</v>
      </c>
      <c r="G188" s="76" t="s">
        <v>769</v>
      </c>
      <c r="H188" s="77"/>
      <c r="L188" s="275"/>
      <c r="M188" s="275"/>
      <c r="N188" s="275"/>
    </row>
    <row r="189" spans="3:14" outlineLevel="4" x14ac:dyDescent="0.35">
      <c r="C189" s="68">
        <v>51600040</v>
      </c>
      <c r="D189" s="51" t="s">
        <v>77</v>
      </c>
      <c r="E189" s="51" t="s">
        <v>1043</v>
      </c>
      <c r="F189" s="55" t="s">
        <v>276</v>
      </c>
      <c r="G189" s="76" t="s">
        <v>769</v>
      </c>
      <c r="H189" s="77"/>
      <c r="L189" s="275"/>
      <c r="M189" s="275"/>
      <c r="N189" s="275"/>
    </row>
    <row r="190" spans="3:14" outlineLevel="4" x14ac:dyDescent="0.35">
      <c r="C190" s="68">
        <v>51600050</v>
      </c>
      <c r="D190" s="51" t="s">
        <v>253</v>
      </c>
      <c r="E190" s="51" t="s">
        <v>1044</v>
      </c>
      <c r="F190" s="55" t="s">
        <v>276</v>
      </c>
      <c r="G190" s="76" t="s">
        <v>769</v>
      </c>
      <c r="H190" s="77"/>
      <c r="L190" s="275"/>
      <c r="M190" s="275"/>
      <c r="N190" s="275"/>
    </row>
    <row r="191" spans="3:14" outlineLevel="4" x14ac:dyDescent="0.35">
      <c r="C191" s="68">
        <v>51600070</v>
      </c>
      <c r="D191" s="51" t="s">
        <v>78</v>
      </c>
      <c r="E191" s="51" t="s">
        <v>1045</v>
      </c>
      <c r="F191" s="55" t="s">
        <v>276</v>
      </c>
      <c r="G191" s="76" t="s">
        <v>769</v>
      </c>
      <c r="H191" s="77"/>
      <c r="L191" s="275"/>
      <c r="M191" s="275"/>
      <c r="N191" s="275"/>
    </row>
    <row r="192" spans="3:14" outlineLevel="4" x14ac:dyDescent="0.35">
      <c r="C192" s="68">
        <v>51700010</v>
      </c>
      <c r="D192" s="51" t="s">
        <v>79</v>
      </c>
      <c r="E192" s="51" t="s">
        <v>1046</v>
      </c>
      <c r="F192" s="55" t="s">
        <v>277</v>
      </c>
      <c r="G192" s="76" t="s">
        <v>769</v>
      </c>
      <c r="H192" s="77"/>
      <c r="L192" s="275"/>
      <c r="M192" s="275"/>
      <c r="N192" s="275"/>
    </row>
    <row r="193" spans="3:14" outlineLevel="4" x14ac:dyDescent="0.35">
      <c r="C193" s="68">
        <v>51700030</v>
      </c>
      <c r="D193" s="51" t="s">
        <v>80</v>
      </c>
      <c r="E193" s="51" t="s">
        <v>1047</v>
      </c>
      <c r="F193" s="55" t="s">
        <v>277</v>
      </c>
      <c r="G193" s="76" t="s">
        <v>769</v>
      </c>
      <c r="H193" s="77"/>
      <c r="L193" s="275"/>
      <c r="M193" s="275"/>
      <c r="N193" s="275"/>
    </row>
    <row r="194" spans="3:14" outlineLevel="4" x14ac:dyDescent="0.35">
      <c r="C194" s="68">
        <v>51700040</v>
      </c>
      <c r="D194" s="51" t="s">
        <v>81</v>
      </c>
      <c r="E194" s="51" t="s">
        <v>1048</v>
      </c>
      <c r="F194" s="55" t="s">
        <v>277</v>
      </c>
      <c r="G194" s="76" t="s">
        <v>769</v>
      </c>
      <c r="H194" s="77"/>
      <c r="L194" s="275"/>
      <c r="M194" s="275"/>
      <c r="N194" s="275"/>
    </row>
    <row r="195" spans="3:14" outlineLevel="4" x14ac:dyDescent="0.35">
      <c r="C195" s="68">
        <v>51700050</v>
      </c>
      <c r="D195" s="51" t="s">
        <v>82</v>
      </c>
      <c r="E195" s="51" t="s">
        <v>1049</v>
      </c>
      <c r="F195" s="55" t="s">
        <v>277</v>
      </c>
      <c r="G195" s="76" t="s">
        <v>769</v>
      </c>
      <c r="H195" s="77"/>
      <c r="L195" s="275"/>
      <c r="M195" s="275"/>
      <c r="N195" s="275"/>
    </row>
    <row r="196" spans="3:14" outlineLevel="4" x14ac:dyDescent="0.35">
      <c r="C196" s="68">
        <v>51700060</v>
      </c>
      <c r="D196" s="51" t="s">
        <v>83</v>
      </c>
      <c r="E196" s="51" t="s">
        <v>1050</v>
      </c>
      <c r="F196" s="55" t="s">
        <v>277</v>
      </c>
      <c r="G196" s="76" t="s">
        <v>769</v>
      </c>
      <c r="H196" s="77"/>
      <c r="L196" s="275"/>
      <c r="M196" s="275"/>
      <c r="N196" s="275"/>
    </row>
    <row r="197" spans="3:14" outlineLevel="4" x14ac:dyDescent="0.35">
      <c r="C197" s="68">
        <v>51700070</v>
      </c>
      <c r="D197" s="51" t="s">
        <v>84</v>
      </c>
      <c r="E197" s="51" t="s">
        <v>1051</v>
      </c>
      <c r="F197" s="55" t="s">
        <v>277</v>
      </c>
      <c r="G197" s="76" t="s">
        <v>769</v>
      </c>
      <c r="H197" s="77"/>
      <c r="L197" s="275"/>
      <c r="M197" s="275"/>
      <c r="N197" s="275"/>
    </row>
    <row r="198" spans="3:14" outlineLevel="4" x14ac:dyDescent="0.35">
      <c r="C198" s="68">
        <v>51800010</v>
      </c>
      <c r="D198" s="51" t="s">
        <v>85</v>
      </c>
      <c r="E198" s="51" t="s">
        <v>1052</v>
      </c>
      <c r="F198" s="55" t="s">
        <v>278</v>
      </c>
      <c r="G198" s="76" t="s">
        <v>769</v>
      </c>
      <c r="H198" s="77"/>
    </row>
    <row r="199" spans="3:14" outlineLevel="4" x14ac:dyDescent="0.35">
      <c r="C199" s="68">
        <v>51800020</v>
      </c>
      <c r="D199" s="51" t="s">
        <v>86</v>
      </c>
      <c r="E199" s="51" t="s">
        <v>1053</v>
      </c>
      <c r="F199" s="55" t="s">
        <v>278</v>
      </c>
      <c r="G199" s="76" t="s">
        <v>769</v>
      </c>
      <c r="H199" s="77"/>
    </row>
    <row r="200" spans="3:14" outlineLevel="4" x14ac:dyDescent="0.35">
      <c r="C200" s="68">
        <v>51800030</v>
      </c>
      <c r="D200" s="51" t="s">
        <v>87</v>
      </c>
      <c r="E200" s="51" t="s">
        <v>1054</v>
      </c>
      <c r="F200" s="55" t="s">
        <v>278</v>
      </c>
      <c r="G200" s="76" t="s">
        <v>769</v>
      </c>
      <c r="H200" s="77"/>
    </row>
    <row r="201" spans="3:14" outlineLevel="4" x14ac:dyDescent="0.35">
      <c r="C201" s="68">
        <v>51800090</v>
      </c>
      <c r="D201" s="51" t="s">
        <v>88</v>
      </c>
      <c r="E201" s="51" t="s">
        <v>1055</v>
      </c>
      <c r="F201" s="55" t="s">
        <v>278</v>
      </c>
      <c r="G201" s="76" t="s">
        <v>769</v>
      </c>
      <c r="H201" s="77"/>
    </row>
    <row r="202" spans="3:14" outlineLevel="4" x14ac:dyDescent="0.35">
      <c r="C202" s="68">
        <v>51900010</v>
      </c>
      <c r="D202" s="51" t="s">
        <v>89</v>
      </c>
      <c r="E202" s="51" t="s">
        <v>1056</v>
      </c>
      <c r="F202" s="55" t="s">
        <v>227</v>
      </c>
      <c r="G202" s="76" t="s">
        <v>769</v>
      </c>
      <c r="H202" s="77"/>
    </row>
    <row r="203" spans="3:14" outlineLevel="4" x14ac:dyDescent="0.35">
      <c r="C203" s="68">
        <v>51900020</v>
      </c>
      <c r="D203" s="51" t="s">
        <v>91</v>
      </c>
      <c r="E203" s="51" t="s">
        <v>1057</v>
      </c>
      <c r="F203" s="55" t="s">
        <v>227</v>
      </c>
      <c r="G203" s="76" t="s">
        <v>769</v>
      </c>
      <c r="H203" s="77"/>
    </row>
    <row r="204" spans="3:14" outlineLevel="4" x14ac:dyDescent="0.35">
      <c r="C204" s="68">
        <v>51900030</v>
      </c>
      <c r="D204" s="51" t="s">
        <v>92</v>
      </c>
      <c r="E204" s="51" t="s">
        <v>1058</v>
      </c>
      <c r="F204" s="55" t="s">
        <v>227</v>
      </c>
      <c r="G204" s="76" t="s">
        <v>769</v>
      </c>
      <c r="H204" s="77"/>
    </row>
    <row r="205" spans="3:14" outlineLevel="4" x14ac:dyDescent="0.35">
      <c r="C205" s="68">
        <v>51900040</v>
      </c>
      <c r="D205" s="51" t="s">
        <v>93</v>
      </c>
      <c r="E205" s="51" t="s">
        <v>1059</v>
      </c>
      <c r="F205" s="55" t="s">
        <v>227</v>
      </c>
      <c r="G205" s="76" t="s">
        <v>769</v>
      </c>
      <c r="H205" s="77"/>
    </row>
    <row r="206" spans="3:14" outlineLevel="4" x14ac:dyDescent="0.35">
      <c r="C206" s="68">
        <v>51900090</v>
      </c>
      <c r="D206" s="51" t="s">
        <v>94</v>
      </c>
      <c r="E206" s="51" t="s">
        <v>1060</v>
      </c>
      <c r="F206" s="55" t="s">
        <v>227</v>
      </c>
      <c r="G206" s="76" t="s">
        <v>769</v>
      </c>
      <c r="H206" s="77"/>
    </row>
    <row r="207" spans="3:14" outlineLevel="4" x14ac:dyDescent="0.35">
      <c r="C207" s="68">
        <v>52100010</v>
      </c>
      <c r="D207" s="51" t="s">
        <v>98</v>
      </c>
      <c r="E207" s="51" t="s">
        <v>1061</v>
      </c>
      <c r="F207" s="55" t="s">
        <v>280</v>
      </c>
      <c r="G207" s="76" t="s">
        <v>769</v>
      </c>
      <c r="H207" s="77"/>
    </row>
    <row r="208" spans="3:14" outlineLevel="4" x14ac:dyDescent="0.35">
      <c r="C208" s="68">
        <v>52100020</v>
      </c>
      <c r="D208" s="51" t="s">
        <v>100</v>
      </c>
      <c r="E208" s="51" t="s">
        <v>1062</v>
      </c>
      <c r="F208" s="55" t="s">
        <v>280</v>
      </c>
      <c r="G208" s="76" t="s">
        <v>769</v>
      </c>
      <c r="H208" s="77"/>
    </row>
    <row r="209" spans="3:8" outlineLevel="4" x14ac:dyDescent="0.35">
      <c r="C209" s="68">
        <v>52100030</v>
      </c>
      <c r="D209" s="51" t="s">
        <v>101</v>
      </c>
      <c r="E209" s="51" t="s">
        <v>1063</v>
      </c>
      <c r="F209" s="55" t="s">
        <v>280</v>
      </c>
      <c r="G209" s="76" t="s">
        <v>769</v>
      </c>
      <c r="H209" s="77"/>
    </row>
    <row r="210" spans="3:8" outlineLevel="4" x14ac:dyDescent="0.35">
      <c r="C210" s="68">
        <v>52100040</v>
      </c>
      <c r="D210" s="51" t="s">
        <v>103</v>
      </c>
      <c r="E210" s="51" t="s">
        <v>1064</v>
      </c>
      <c r="F210" s="55" t="s">
        <v>280</v>
      </c>
      <c r="G210" s="76" t="s">
        <v>769</v>
      </c>
      <c r="H210" s="77"/>
    </row>
    <row r="211" spans="3:8" outlineLevel="4" x14ac:dyDescent="0.35">
      <c r="C211" s="68">
        <v>52100050</v>
      </c>
      <c r="D211" s="51" t="s">
        <v>105</v>
      </c>
      <c r="E211" s="51" t="s">
        <v>1065</v>
      </c>
      <c r="F211" s="55" t="s">
        <v>280</v>
      </c>
      <c r="G211" s="76" t="s">
        <v>769</v>
      </c>
      <c r="H211" s="77"/>
    </row>
    <row r="212" spans="3:8" ht="29" outlineLevel="4" x14ac:dyDescent="0.35">
      <c r="C212" s="68">
        <v>52200010</v>
      </c>
      <c r="D212" s="51" t="s">
        <v>106</v>
      </c>
      <c r="E212" s="51" t="s">
        <v>1066</v>
      </c>
      <c r="F212" s="55" t="s">
        <v>281</v>
      </c>
      <c r="G212" s="76" t="s">
        <v>769</v>
      </c>
      <c r="H212" s="77"/>
    </row>
    <row r="213" spans="3:8" ht="29" outlineLevel="4" x14ac:dyDescent="0.35">
      <c r="C213" s="68">
        <v>52200020</v>
      </c>
      <c r="D213" s="51" t="s">
        <v>108</v>
      </c>
      <c r="E213" s="51" t="s">
        <v>1067</v>
      </c>
      <c r="F213" s="55" t="s">
        <v>281</v>
      </c>
      <c r="G213" s="76" t="s">
        <v>769</v>
      </c>
      <c r="H213" s="77"/>
    </row>
    <row r="214" spans="3:8" ht="29" outlineLevel="4" x14ac:dyDescent="0.35">
      <c r="C214" s="68">
        <v>52300010</v>
      </c>
      <c r="D214" s="51" t="s">
        <v>110</v>
      </c>
      <c r="E214" s="51" t="s">
        <v>1068</v>
      </c>
      <c r="F214" s="55" t="s">
        <v>282</v>
      </c>
      <c r="G214" s="76" t="s">
        <v>769</v>
      </c>
      <c r="H214" s="77"/>
    </row>
    <row r="215" spans="3:8" ht="29" outlineLevel="4" x14ac:dyDescent="0.35">
      <c r="C215" s="68">
        <v>52300020</v>
      </c>
      <c r="D215" s="51" t="s">
        <v>112</v>
      </c>
      <c r="E215" s="51" t="s">
        <v>1069</v>
      </c>
      <c r="F215" s="55" t="s">
        <v>282</v>
      </c>
      <c r="G215" s="76" t="s">
        <v>769</v>
      </c>
      <c r="H215" s="77"/>
    </row>
    <row r="216" spans="3:8" ht="29" outlineLevel="4" x14ac:dyDescent="0.35">
      <c r="C216" s="68">
        <v>52400030</v>
      </c>
      <c r="D216" s="51" t="s">
        <v>114</v>
      </c>
      <c r="E216" s="51" t="s">
        <v>1070</v>
      </c>
      <c r="F216" s="55" t="s">
        <v>283</v>
      </c>
      <c r="G216" s="76" t="s">
        <v>769</v>
      </c>
      <c r="H216" s="77"/>
    </row>
    <row r="217" spans="3:8" outlineLevel="4" x14ac:dyDescent="0.35">
      <c r="C217" s="68">
        <v>52400040</v>
      </c>
      <c r="D217" s="51" t="s">
        <v>116</v>
      </c>
      <c r="E217" s="51" t="s">
        <v>1071</v>
      </c>
      <c r="F217" s="55" t="s">
        <v>283</v>
      </c>
      <c r="G217" s="76" t="s">
        <v>769</v>
      </c>
      <c r="H217" s="77"/>
    </row>
    <row r="218" spans="3:8" outlineLevel="4" x14ac:dyDescent="0.35">
      <c r="C218" s="68">
        <v>52400060</v>
      </c>
      <c r="D218" s="51" t="s">
        <v>255</v>
      </c>
      <c r="E218" s="51" t="s">
        <v>1072</v>
      </c>
      <c r="F218" s="55" t="s">
        <v>283</v>
      </c>
      <c r="G218" s="76" t="s">
        <v>769</v>
      </c>
      <c r="H218" s="77"/>
    </row>
    <row r="219" spans="3:8" outlineLevel="4" x14ac:dyDescent="0.35">
      <c r="C219" s="68">
        <v>52500010</v>
      </c>
      <c r="D219" s="51" t="s">
        <v>117</v>
      </c>
      <c r="E219" s="51" t="s">
        <v>1073</v>
      </c>
      <c r="F219" s="55" t="s">
        <v>117</v>
      </c>
      <c r="G219" s="76" t="s">
        <v>769</v>
      </c>
      <c r="H219" s="77"/>
    </row>
    <row r="220" spans="3:8" outlineLevel="4" x14ac:dyDescent="0.35">
      <c r="C220" s="68">
        <v>52600020</v>
      </c>
      <c r="D220" s="51" t="s">
        <v>120</v>
      </c>
      <c r="E220" s="51" t="s">
        <v>1074</v>
      </c>
      <c r="F220" s="55" t="s">
        <v>284</v>
      </c>
      <c r="G220" s="76" t="s">
        <v>769</v>
      </c>
      <c r="H220" s="77"/>
    </row>
    <row r="221" spans="3:8" outlineLevel="4" x14ac:dyDescent="0.35">
      <c r="C221" s="68">
        <v>52600030</v>
      </c>
      <c r="D221" s="51" t="s">
        <v>121</v>
      </c>
      <c r="E221" s="51" t="s">
        <v>1075</v>
      </c>
      <c r="F221" s="55" t="s">
        <v>284</v>
      </c>
      <c r="G221" s="76" t="s">
        <v>769</v>
      </c>
      <c r="H221" s="77"/>
    </row>
    <row r="222" spans="3:8" outlineLevel="4" x14ac:dyDescent="0.35">
      <c r="C222" s="68">
        <v>52900010</v>
      </c>
      <c r="D222" s="51" t="s">
        <v>122</v>
      </c>
      <c r="E222" s="51" t="s">
        <v>1076</v>
      </c>
      <c r="F222" s="55" t="s">
        <v>285</v>
      </c>
      <c r="G222" s="76" t="s">
        <v>769</v>
      </c>
      <c r="H222" s="77"/>
    </row>
    <row r="223" spans="3:8" outlineLevel="4" x14ac:dyDescent="0.35">
      <c r="C223" s="68">
        <v>52900020</v>
      </c>
      <c r="D223" s="51" t="s">
        <v>124</v>
      </c>
      <c r="E223" s="51" t="s">
        <v>1077</v>
      </c>
      <c r="F223" s="55" t="s">
        <v>285</v>
      </c>
      <c r="G223" s="76" t="s">
        <v>769</v>
      </c>
      <c r="H223" s="77"/>
    </row>
    <row r="224" spans="3:8" ht="29" outlineLevel="4" x14ac:dyDescent="0.35">
      <c r="C224" s="68">
        <v>53100010</v>
      </c>
      <c r="D224" s="51" t="s">
        <v>258</v>
      </c>
      <c r="E224" s="51" t="s">
        <v>1078</v>
      </c>
      <c r="F224" s="55" t="s">
        <v>258</v>
      </c>
      <c r="G224" s="76" t="s">
        <v>769</v>
      </c>
      <c r="H224" s="77"/>
    </row>
    <row r="225" spans="3:7" outlineLevel="4" x14ac:dyDescent="0.35">
      <c r="C225" s="71"/>
      <c r="D225" s="60"/>
      <c r="E225" s="61"/>
      <c r="F225" s="61"/>
      <c r="G225" s="61"/>
    </row>
    <row r="228" spans="3:7" x14ac:dyDescent="0.35">
      <c r="C228" s="37" t="s">
        <v>848</v>
      </c>
    </row>
    <row r="229" spans="3:7" x14ac:dyDescent="0.35">
      <c r="C229" s="17" t="s">
        <v>762</v>
      </c>
      <c r="D229" s="17" t="s">
        <v>763</v>
      </c>
      <c r="E229" s="39" t="s">
        <v>764</v>
      </c>
      <c r="F229" s="39" t="s">
        <v>765</v>
      </c>
      <c r="G229" s="39" t="s">
        <v>766</v>
      </c>
    </row>
    <row r="230" spans="3:7" x14ac:dyDescent="0.35">
      <c r="C230" s="68">
        <v>60100010</v>
      </c>
      <c r="D230" s="51" t="s">
        <v>43</v>
      </c>
      <c r="E230" s="51" t="s">
        <v>1079</v>
      </c>
      <c r="F230" s="69" t="s">
        <v>287</v>
      </c>
      <c r="G230" s="69" t="s">
        <v>34</v>
      </c>
    </row>
    <row r="231" spans="3:7" x14ac:dyDescent="0.35">
      <c r="C231" s="68">
        <v>60100020</v>
      </c>
      <c r="D231" s="51" t="s">
        <v>44</v>
      </c>
      <c r="E231" s="51" t="s">
        <v>1080</v>
      </c>
      <c r="F231" s="70" t="s">
        <v>287</v>
      </c>
      <c r="G231" s="70" t="s">
        <v>34</v>
      </c>
    </row>
    <row r="232" spans="3:7" x14ac:dyDescent="0.35">
      <c r="C232" s="68">
        <v>60100030</v>
      </c>
      <c r="D232" s="51" t="s">
        <v>45</v>
      </c>
      <c r="E232" s="51" t="s">
        <v>851</v>
      </c>
      <c r="F232" s="51" t="s">
        <v>287</v>
      </c>
      <c r="G232" s="70" t="s">
        <v>34</v>
      </c>
    </row>
    <row r="233" spans="3:7" x14ac:dyDescent="0.35">
      <c r="C233" s="68">
        <v>60100040</v>
      </c>
      <c r="D233" s="51" t="s">
        <v>46</v>
      </c>
      <c r="E233" s="51" t="s">
        <v>1081</v>
      </c>
      <c r="F233" s="51" t="s">
        <v>287</v>
      </c>
      <c r="G233" s="70" t="s">
        <v>34</v>
      </c>
    </row>
    <row r="234" spans="3:7" x14ac:dyDescent="0.35">
      <c r="C234" s="68">
        <v>60100050</v>
      </c>
      <c r="D234" s="51" t="s">
        <v>47</v>
      </c>
      <c r="E234" s="51" t="s">
        <v>1082</v>
      </c>
      <c r="F234" s="51" t="s">
        <v>287</v>
      </c>
      <c r="G234" s="70" t="s">
        <v>34</v>
      </c>
    </row>
    <row r="235" spans="3:7" x14ac:dyDescent="0.35">
      <c r="C235" s="68">
        <v>60100060</v>
      </c>
      <c r="D235" s="51" t="s">
        <v>48</v>
      </c>
      <c r="E235" s="51" t="s">
        <v>1083</v>
      </c>
      <c r="F235" s="51" t="s">
        <v>287</v>
      </c>
      <c r="G235" s="70" t="s">
        <v>34</v>
      </c>
    </row>
    <row r="236" spans="3:7" x14ac:dyDescent="0.35">
      <c r="C236" s="68">
        <v>60100070</v>
      </c>
      <c r="D236" s="51" t="s">
        <v>49</v>
      </c>
      <c r="E236" s="51" t="s">
        <v>1084</v>
      </c>
      <c r="F236" s="51" t="s">
        <v>287</v>
      </c>
      <c r="G236" s="70" t="s">
        <v>34</v>
      </c>
    </row>
    <row r="237" spans="3:7" x14ac:dyDescent="0.35">
      <c r="C237" s="68">
        <v>60100080</v>
      </c>
      <c r="D237" s="51" t="s">
        <v>50</v>
      </c>
      <c r="E237" s="51" t="s">
        <v>1085</v>
      </c>
      <c r="F237" s="55" t="s">
        <v>287</v>
      </c>
      <c r="G237" s="70" t="s">
        <v>34</v>
      </c>
    </row>
    <row r="238" spans="3:7" x14ac:dyDescent="0.35">
      <c r="C238" s="68">
        <v>60100090</v>
      </c>
      <c r="D238" s="51" t="s">
        <v>51</v>
      </c>
      <c r="E238" s="51" t="s">
        <v>1086</v>
      </c>
      <c r="F238" s="55" t="s">
        <v>287</v>
      </c>
      <c r="G238" s="70" t="s">
        <v>34</v>
      </c>
    </row>
    <row r="239" spans="3:7" x14ac:dyDescent="0.35">
      <c r="C239" s="68">
        <v>60100100</v>
      </c>
      <c r="D239" s="51" t="s">
        <v>52</v>
      </c>
      <c r="E239" s="51" t="s">
        <v>1087</v>
      </c>
      <c r="F239" s="55" t="s">
        <v>287</v>
      </c>
      <c r="G239" s="70" t="s">
        <v>34</v>
      </c>
    </row>
    <row r="240" spans="3:7" x14ac:dyDescent="0.35">
      <c r="C240" s="68">
        <v>60100110</v>
      </c>
      <c r="D240" s="51" t="s">
        <v>53</v>
      </c>
      <c r="E240" s="51" t="s">
        <v>1088</v>
      </c>
      <c r="F240" s="55" t="s">
        <v>287</v>
      </c>
      <c r="G240" s="70" t="s">
        <v>34</v>
      </c>
    </row>
    <row r="241" spans="1:7" x14ac:dyDescent="0.35">
      <c r="C241" s="68">
        <v>60100120</v>
      </c>
      <c r="D241" s="51" t="s">
        <v>860</v>
      </c>
      <c r="E241" s="51" t="s">
        <v>1081</v>
      </c>
      <c r="F241" s="55" t="s">
        <v>287</v>
      </c>
      <c r="G241" s="70" t="s">
        <v>34</v>
      </c>
    </row>
    <row r="242" spans="1:7" x14ac:dyDescent="0.35">
      <c r="C242" s="68">
        <v>60100990</v>
      </c>
      <c r="D242" s="51" t="s">
        <v>54</v>
      </c>
      <c r="E242" s="51" t="s">
        <v>1089</v>
      </c>
      <c r="F242" s="55" t="s">
        <v>287</v>
      </c>
      <c r="G242" s="70" t="s">
        <v>34</v>
      </c>
    </row>
    <row r="243" spans="1:7" x14ac:dyDescent="0.35">
      <c r="C243" s="68">
        <v>60200010</v>
      </c>
      <c r="D243" s="51" t="s">
        <v>55</v>
      </c>
      <c r="E243" s="51" t="s">
        <v>1090</v>
      </c>
      <c r="F243" s="55" t="s">
        <v>267</v>
      </c>
      <c r="G243" s="70" t="s">
        <v>34</v>
      </c>
    </row>
    <row r="244" spans="1:7" x14ac:dyDescent="0.35">
      <c r="C244" s="68">
        <v>60300010</v>
      </c>
      <c r="D244" s="51" t="s">
        <v>57</v>
      </c>
      <c r="E244" s="51" t="s">
        <v>1091</v>
      </c>
      <c r="F244" s="55" t="s">
        <v>288</v>
      </c>
      <c r="G244" s="70" t="s">
        <v>34</v>
      </c>
    </row>
    <row r="245" spans="1:7" x14ac:dyDescent="0.35">
      <c r="C245" s="68">
        <v>60600010</v>
      </c>
      <c r="D245" s="51" t="s">
        <v>228</v>
      </c>
      <c r="E245" s="51" t="s">
        <v>1092</v>
      </c>
      <c r="F245" s="55" t="s">
        <v>269</v>
      </c>
      <c r="G245" s="69" t="s">
        <v>59</v>
      </c>
    </row>
    <row r="246" spans="1:7" x14ac:dyDescent="0.35">
      <c r="C246" s="68">
        <v>60600020</v>
      </c>
      <c r="D246" s="51" t="s">
        <v>229</v>
      </c>
      <c r="E246" s="51" t="s">
        <v>1093</v>
      </c>
      <c r="F246" s="55" t="s">
        <v>269</v>
      </c>
      <c r="G246" s="69" t="s">
        <v>59</v>
      </c>
    </row>
    <row r="247" spans="1:7" ht="14.25" customHeight="1" x14ac:dyDescent="0.35">
      <c r="C247" s="68">
        <v>60600030</v>
      </c>
      <c r="D247" s="51" t="s">
        <v>230</v>
      </c>
      <c r="E247" s="51" t="s">
        <v>1094</v>
      </c>
      <c r="F247" s="55" t="s">
        <v>269</v>
      </c>
      <c r="G247" s="69" t="s">
        <v>59</v>
      </c>
    </row>
    <row r="248" spans="1:7" ht="14.25" customHeight="1" x14ac:dyDescent="0.35">
      <c r="C248" s="68">
        <v>60600050</v>
      </c>
      <c r="D248" s="51" t="s">
        <v>61</v>
      </c>
      <c r="E248" s="51" t="s">
        <v>1227</v>
      </c>
      <c r="F248" s="55" t="s">
        <v>269</v>
      </c>
      <c r="G248" s="69" t="s">
        <v>59</v>
      </c>
    </row>
    <row r="249" spans="1:7" ht="14.25" customHeight="1" x14ac:dyDescent="0.35">
      <c r="A249" s="51"/>
      <c r="B249" s="51"/>
      <c r="C249" s="68">
        <v>60700010</v>
      </c>
      <c r="D249" s="51" t="s">
        <v>62</v>
      </c>
      <c r="E249" s="51" t="s">
        <v>1228</v>
      </c>
      <c r="F249" s="55" t="s">
        <v>62</v>
      </c>
      <c r="G249" s="69" t="s">
        <v>59</v>
      </c>
    </row>
    <row r="250" spans="1:7" x14ac:dyDescent="0.35">
      <c r="C250" s="68">
        <v>60800010</v>
      </c>
      <c r="D250" s="51" t="s">
        <v>63</v>
      </c>
      <c r="E250" s="51" t="s">
        <v>1095</v>
      </c>
      <c r="F250" s="55" t="s">
        <v>289</v>
      </c>
      <c r="G250" s="69" t="s">
        <v>769</v>
      </c>
    </row>
    <row r="251" spans="1:7" x14ac:dyDescent="0.35">
      <c r="C251" s="68">
        <v>60800020</v>
      </c>
      <c r="D251" s="51" t="s">
        <v>64</v>
      </c>
      <c r="E251" s="51" t="s">
        <v>1096</v>
      </c>
      <c r="F251" s="55" t="s">
        <v>289</v>
      </c>
      <c r="G251" s="69" t="s">
        <v>769</v>
      </c>
    </row>
    <row r="252" spans="1:7" x14ac:dyDescent="0.35">
      <c r="C252" s="68">
        <v>60800030</v>
      </c>
      <c r="D252" s="51" t="s">
        <v>65</v>
      </c>
      <c r="E252" s="51" t="s">
        <v>1097</v>
      </c>
      <c r="F252" s="55" t="s">
        <v>289</v>
      </c>
      <c r="G252" s="69" t="s">
        <v>769</v>
      </c>
    </row>
    <row r="253" spans="1:7" x14ac:dyDescent="0.35">
      <c r="C253" s="68">
        <v>60800040</v>
      </c>
      <c r="D253" s="51" t="s">
        <v>66</v>
      </c>
      <c r="E253" s="51" t="s">
        <v>1098</v>
      </c>
      <c r="F253" s="55" t="s">
        <v>289</v>
      </c>
      <c r="G253" s="69" t="s">
        <v>769</v>
      </c>
    </row>
    <row r="254" spans="1:7" x14ac:dyDescent="0.35">
      <c r="C254" s="68">
        <v>60800050</v>
      </c>
      <c r="D254" s="51" t="s">
        <v>67</v>
      </c>
      <c r="E254" s="51" t="s">
        <v>1099</v>
      </c>
      <c r="F254" s="55" t="s">
        <v>289</v>
      </c>
      <c r="G254" s="69" t="s">
        <v>769</v>
      </c>
    </row>
    <row r="255" spans="1:7" x14ac:dyDescent="0.35">
      <c r="C255" s="68">
        <v>60800060</v>
      </c>
      <c r="D255" s="51" t="s">
        <v>68</v>
      </c>
      <c r="E255" s="51" t="s">
        <v>1031</v>
      </c>
      <c r="F255" s="55" t="s">
        <v>289</v>
      </c>
      <c r="G255" s="69" t="s">
        <v>769</v>
      </c>
    </row>
    <row r="256" spans="1:7" x14ac:dyDescent="0.35">
      <c r="C256" s="68">
        <v>60800070</v>
      </c>
      <c r="D256" s="51" t="s">
        <v>69</v>
      </c>
      <c r="E256" s="51" t="s">
        <v>1032</v>
      </c>
      <c r="F256" s="55" t="s">
        <v>289</v>
      </c>
      <c r="G256" s="69" t="s">
        <v>769</v>
      </c>
    </row>
    <row r="257" spans="3:7" x14ac:dyDescent="0.35">
      <c r="C257" s="68">
        <v>60800080</v>
      </c>
      <c r="D257" s="51" t="s">
        <v>70</v>
      </c>
      <c r="E257" s="51" t="s">
        <v>1100</v>
      </c>
      <c r="F257" s="55" t="s">
        <v>289</v>
      </c>
      <c r="G257" s="69" t="s">
        <v>769</v>
      </c>
    </row>
    <row r="258" spans="3:7" x14ac:dyDescent="0.35">
      <c r="C258" s="68">
        <v>61100010</v>
      </c>
      <c r="D258" s="51" t="s">
        <v>232</v>
      </c>
      <c r="E258" s="51" t="s">
        <v>1033</v>
      </c>
      <c r="F258" s="55" t="s">
        <v>271</v>
      </c>
      <c r="G258" s="69" t="s">
        <v>649</v>
      </c>
    </row>
    <row r="259" spans="3:7" x14ac:dyDescent="0.35">
      <c r="C259" s="68">
        <v>61200010</v>
      </c>
      <c r="D259" s="51" t="s">
        <v>233</v>
      </c>
      <c r="E259" s="51" t="s">
        <v>1101</v>
      </c>
      <c r="F259" s="55" t="s">
        <v>272</v>
      </c>
      <c r="G259" s="69" t="s">
        <v>867</v>
      </c>
    </row>
    <row r="260" spans="3:7" x14ac:dyDescent="0.35">
      <c r="C260" s="68">
        <v>61200020</v>
      </c>
      <c r="D260" s="51" t="s">
        <v>234</v>
      </c>
      <c r="E260" s="51" t="s">
        <v>1102</v>
      </c>
      <c r="F260" s="55" t="s">
        <v>272</v>
      </c>
      <c r="G260" s="69" t="s">
        <v>867</v>
      </c>
    </row>
    <row r="261" spans="3:7" x14ac:dyDescent="0.35">
      <c r="C261" s="68">
        <v>61200030</v>
      </c>
      <c r="D261" s="51" t="s">
        <v>235</v>
      </c>
      <c r="E261" s="51" t="s">
        <v>1103</v>
      </c>
      <c r="F261" s="55" t="s">
        <v>272</v>
      </c>
      <c r="G261" s="69" t="s">
        <v>867</v>
      </c>
    </row>
    <row r="262" spans="3:7" x14ac:dyDescent="0.35">
      <c r="C262" s="68">
        <v>61200040</v>
      </c>
      <c r="D262" s="51" t="s">
        <v>236</v>
      </c>
      <c r="E262" s="51" t="s">
        <v>1104</v>
      </c>
      <c r="F262" s="55" t="s">
        <v>272</v>
      </c>
      <c r="G262" s="69" t="s">
        <v>867</v>
      </c>
    </row>
    <row r="263" spans="3:7" x14ac:dyDescent="0.35">
      <c r="C263" s="68">
        <v>61200050</v>
      </c>
      <c r="D263" s="51" t="s">
        <v>237</v>
      </c>
      <c r="E263" s="51" t="s">
        <v>1105</v>
      </c>
      <c r="F263" s="55" t="s">
        <v>272</v>
      </c>
      <c r="G263" s="69" t="s">
        <v>867</v>
      </c>
    </row>
    <row r="264" spans="3:7" x14ac:dyDescent="0.35">
      <c r="C264" s="68">
        <v>61200060</v>
      </c>
      <c r="D264" s="51" t="s">
        <v>238</v>
      </c>
      <c r="E264" s="51" t="s">
        <v>1106</v>
      </c>
      <c r="F264" s="55" t="s">
        <v>272</v>
      </c>
      <c r="G264" s="69" t="s">
        <v>867</v>
      </c>
    </row>
    <row r="265" spans="3:7" x14ac:dyDescent="0.35">
      <c r="C265" s="68">
        <v>61200070</v>
      </c>
      <c r="D265" s="51" t="s">
        <v>239</v>
      </c>
      <c r="E265" s="51" t="s">
        <v>1107</v>
      </c>
      <c r="F265" s="55" t="s">
        <v>272</v>
      </c>
      <c r="G265" s="69" t="s">
        <v>867</v>
      </c>
    </row>
    <row r="266" spans="3:7" x14ac:dyDescent="0.35">
      <c r="C266" s="68">
        <v>61200080</v>
      </c>
      <c r="D266" s="51" t="s">
        <v>240</v>
      </c>
      <c r="E266" s="51" t="s">
        <v>1108</v>
      </c>
      <c r="F266" s="55" t="s">
        <v>272</v>
      </c>
      <c r="G266" s="69" t="s">
        <v>867</v>
      </c>
    </row>
    <row r="267" spans="3:7" x14ac:dyDescent="0.35">
      <c r="C267" s="68">
        <v>61200090</v>
      </c>
      <c r="D267" s="51" t="s">
        <v>241</v>
      </c>
      <c r="E267" s="51" t="s">
        <v>1109</v>
      </c>
      <c r="F267" s="55" t="s">
        <v>272</v>
      </c>
      <c r="G267" s="69" t="s">
        <v>867</v>
      </c>
    </row>
    <row r="268" spans="3:7" x14ac:dyDescent="0.35">
      <c r="C268" s="68">
        <v>61300010</v>
      </c>
      <c r="D268" s="51" t="s">
        <v>242</v>
      </c>
      <c r="E268" s="51" t="s">
        <v>1110</v>
      </c>
      <c r="F268" s="55" t="s">
        <v>273</v>
      </c>
      <c r="G268" s="69" t="s">
        <v>867</v>
      </c>
    </row>
    <row r="269" spans="3:7" x14ac:dyDescent="0.35">
      <c r="C269" s="68">
        <v>61300020</v>
      </c>
      <c r="D269" s="51" t="s">
        <v>243</v>
      </c>
      <c r="E269" s="51" t="s">
        <v>1111</v>
      </c>
      <c r="F269" s="55" t="s">
        <v>273</v>
      </c>
      <c r="G269" s="69" t="s">
        <v>867</v>
      </c>
    </row>
    <row r="270" spans="3:7" x14ac:dyDescent="0.35">
      <c r="C270" s="68">
        <v>61300030</v>
      </c>
      <c r="D270" s="51" t="s">
        <v>244</v>
      </c>
      <c r="E270" s="51" t="s">
        <v>1112</v>
      </c>
      <c r="F270" s="55" t="s">
        <v>273</v>
      </c>
      <c r="G270" s="69" t="s">
        <v>867</v>
      </c>
    </row>
    <row r="271" spans="3:7" x14ac:dyDescent="0.35">
      <c r="C271" s="68">
        <v>61300040</v>
      </c>
      <c r="D271" s="51" t="s">
        <v>245</v>
      </c>
      <c r="E271" s="51" t="s">
        <v>1113</v>
      </c>
      <c r="F271" s="55" t="s">
        <v>273</v>
      </c>
      <c r="G271" s="69" t="s">
        <v>867</v>
      </c>
    </row>
    <row r="272" spans="3:7" x14ac:dyDescent="0.35">
      <c r="C272" s="68">
        <v>61300050</v>
      </c>
      <c r="D272" s="51" t="s">
        <v>246</v>
      </c>
      <c r="E272" s="51" t="s">
        <v>1114</v>
      </c>
      <c r="F272" s="55" t="s">
        <v>273</v>
      </c>
      <c r="G272" s="69" t="s">
        <v>867</v>
      </c>
    </row>
    <row r="273" spans="3:7" x14ac:dyDescent="0.35">
      <c r="C273" s="68">
        <v>61300060</v>
      </c>
      <c r="D273" s="51" t="s">
        <v>247</v>
      </c>
      <c r="E273" s="51" t="s">
        <v>1115</v>
      </c>
      <c r="F273" s="55" t="s">
        <v>273</v>
      </c>
      <c r="G273" s="69" t="s">
        <v>867</v>
      </c>
    </row>
    <row r="274" spans="3:7" x14ac:dyDescent="0.35">
      <c r="C274" s="68">
        <v>61300070</v>
      </c>
      <c r="D274" s="51" t="s">
        <v>248</v>
      </c>
      <c r="E274" s="51" t="s">
        <v>1116</v>
      </c>
      <c r="F274" s="55" t="s">
        <v>273</v>
      </c>
      <c r="G274" s="69" t="s">
        <v>867</v>
      </c>
    </row>
    <row r="275" spans="3:7" x14ac:dyDescent="0.35">
      <c r="C275" s="68">
        <v>61300080</v>
      </c>
      <c r="D275" s="51" t="s">
        <v>249</v>
      </c>
      <c r="E275" s="51" t="s">
        <v>1117</v>
      </c>
      <c r="F275" s="55" t="s">
        <v>273</v>
      </c>
      <c r="G275" s="69" t="s">
        <v>867</v>
      </c>
    </row>
    <row r="276" spans="3:7" x14ac:dyDescent="0.35">
      <c r="C276" s="68">
        <v>61300090</v>
      </c>
      <c r="D276" s="51" t="s">
        <v>250</v>
      </c>
      <c r="E276" s="51" t="s">
        <v>1118</v>
      </c>
      <c r="F276" s="55" t="s">
        <v>273</v>
      </c>
      <c r="G276" s="69" t="s">
        <v>867</v>
      </c>
    </row>
    <row r="277" spans="3:7" x14ac:dyDescent="0.35">
      <c r="C277" s="68">
        <v>61400010</v>
      </c>
      <c r="D277" s="51" t="s">
        <v>71</v>
      </c>
      <c r="E277" s="51" t="s">
        <v>1119</v>
      </c>
      <c r="F277" s="55" t="s">
        <v>274</v>
      </c>
      <c r="G277" s="69" t="s">
        <v>886</v>
      </c>
    </row>
    <row r="278" spans="3:7" x14ac:dyDescent="0.35">
      <c r="C278" s="68">
        <v>61400020</v>
      </c>
      <c r="D278" s="51" t="s">
        <v>251</v>
      </c>
      <c r="E278" s="51" t="s">
        <v>1120</v>
      </c>
      <c r="F278" s="55" t="s">
        <v>274</v>
      </c>
      <c r="G278" s="69" t="s">
        <v>886</v>
      </c>
    </row>
    <row r="279" spans="3:7" x14ac:dyDescent="0.35">
      <c r="C279" s="68">
        <v>61400030</v>
      </c>
      <c r="D279" s="51" t="s">
        <v>252</v>
      </c>
      <c r="E279" s="51" t="s">
        <v>1121</v>
      </c>
      <c r="F279" s="55" t="s">
        <v>274</v>
      </c>
      <c r="G279" s="69" t="s">
        <v>886</v>
      </c>
    </row>
    <row r="280" spans="3:7" x14ac:dyDescent="0.35">
      <c r="C280" s="68">
        <v>61500010</v>
      </c>
      <c r="D280" s="51" t="s">
        <v>72</v>
      </c>
      <c r="E280" s="51" t="s">
        <v>1039</v>
      </c>
      <c r="F280" s="55" t="s">
        <v>275</v>
      </c>
      <c r="G280" s="69" t="s">
        <v>769</v>
      </c>
    </row>
    <row r="281" spans="3:7" x14ac:dyDescent="0.35">
      <c r="C281" s="68">
        <v>61500020</v>
      </c>
      <c r="D281" s="51" t="s">
        <v>73</v>
      </c>
      <c r="E281" s="51" t="s">
        <v>1039</v>
      </c>
      <c r="F281" s="55" t="s">
        <v>275</v>
      </c>
      <c r="G281" s="69" t="s">
        <v>34</v>
      </c>
    </row>
    <row r="282" spans="3:7" ht="29" x14ac:dyDescent="0.35">
      <c r="C282" s="68">
        <v>61600010</v>
      </c>
      <c r="D282" s="51" t="s">
        <v>889</v>
      </c>
      <c r="E282" s="51" t="s">
        <v>1122</v>
      </c>
      <c r="F282" s="55" t="s">
        <v>276</v>
      </c>
      <c r="G282" s="69" t="s">
        <v>59</v>
      </c>
    </row>
    <row r="283" spans="3:7" x14ac:dyDescent="0.35">
      <c r="C283" s="68">
        <v>61600030</v>
      </c>
      <c r="D283" s="51" t="s">
        <v>76</v>
      </c>
      <c r="E283" s="51" t="s">
        <v>1123</v>
      </c>
      <c r="F283" s="55" t="s">
        <v>276</v>
      </c>
      <c r="G283" s="69" t="s">
        <v>59</v>
      </c>
    </row>
    <row r="284" spans="3:7" ht="43.5" x14ac:dyDescent="0.35">
      <c r="C284" s="68">
        <v>61600040</v>
      </c>
      <c r="D284" s="51" t="s">
        <v>77</v>
      </c>
      <c r="E284" s="51" t="s">
        <v>1124</v>
      </c>
      <c r="F284" s="55" t="s">
        <v>276</v>
      </c>
      <c r="G284" s="69" t="s">
        <v>90</v>
      </c>
    </row>
    <row r="285" spans="3:7" ht="31.5" customHeight="1" x14ac:dyDescent="0.35">
      <c r="C285" s="68">
        <v>61600050</v>
      </c>
      <c r="D285" s="51" t="s">
        <v>893</v>
      </c>
      <c r="E285" s="51" t="s">
        <v>1125</v>
      </c>
      <c r="F285" s="55" t="s">
        <v>276</v>
      </c>
      <c r="G285" s="69" t="s">
        <v>90</v>
      </c>
    </row>
    <row r="286" spans="3:7" ht="29" x14ac:dyDescent="0.35">
      <c r="C286" s="68">
        <v>61600060</v>
      </c>
      <c r="D286" s="51" t="s">
        <v>895</v>
      </c>
      <c r="E286" s="51" t="s">
        <v>1126</v>
      </c>
      <c r="F286" s="55" t="s">
        <v>276</v>
      </c>
      <c r="G286" s="69" t="s">
        <v>34</v>
      </c>
    </row>
    <row r="287" spans="3:7" x14ac:dyDescent="0.35">
      <c r="C287" s="68">
        <v>61600070</v>
      </c>
      <c r="D287" s="51" t="s">
        <v>78</v>
      </c>
      <c r="E287" s="51" t="s">
        <v>1229</v>
      </c>
      <c r="F287" s="55" t="s">
        <v>276</v>
      </c>
      <c r="G287" s="69" t="s">
        <v>769</v>
      </c>
    </row>
    <row r="288" spans="3:7" x14ac:dyDescent="0.35">
      <c r="C288" s="68">
        <v>61700010</v>
      </c>
      <c r="D288" s="51" t="s">
        <v>79</v>
      </c>
      <c r="E288" s="51" t="s">
        <v>1046</v>
      </c>
      <c r="F288" s="55" t="s">
        <v>277</v>
      </c>
      <c r="G288" s="69" t="s">
        <v>897</v>
      </c>
    </row>
    <row r="289" spans="3:7" x14ac:dyDescent="0.35">
      <c r="C289" s="68">
        <v>61700030</v>
      </c>
      <c r="D289" s="51" t="s">
        <v>80</v>
      </c>
      <c r="E289" s="51" t="s">
        <v>1047</v>
      </c>
      <c r="F289" s="55" t="s">
        <v>277</v>
      </c>
      <c r="G289" s="69" t="s">
        <v>59</v>
      </c>
    </row>
    <row r="290" spans="3:7" x14ac:dyDescent="0.35">
      <c r="C290" s="68">
        <v>61700040</v>
      </c>
      <c r="D290" s="51" t="s">
        <v>81</v>
      </c>
      <c r="E290" s="51" t="s">
        <v>1048</v>
      </c>
      <c r="F290" s="55" t="s">
        <v>277</v>
      </c>
      <c r="G290" s="69" t="s">
        <v>59</v>
      </c>
    </row>
    <row r="291" spans="3:7" x14ac:dyDescent="0.35">
      <c r="C291" s="68">
        <v>61700050</v>
      </c>
      <c r="D291" s="51" t="s">
        <v>82</v>
      </c>
      <c r="E291" s="51" t="s">
        <v>1049</v>
      </c>
      <c r="F291" s="55" t="s">
        <v>277</v>
      </c>
      <c r="G291" s="69" t="s">
        <v>59</v>
      </c>
    </row>
    <row r="292" spans="3:7" x14ac:dyDescent="0.35">
      <c r="C292" s="68">
        <v>61700060</v>
      </c>
      <c r="D292" s="51" t="s">
        <v>898</v>
      </c>
      <c r="E292" s="51" t="s">
        <v>1050</v>
      </c>
      <c r="F292" s="55" t="s">
        <v>277</v>
      </c>
      <c r="G292" s="69" t="s">
        <v>59</v>
      </c>
    </row>
    <row r="293" spans="3:7" x14ac:dyDescent="0.35">
      <c r="C293" s="68">
        <v>61700070</v>
      </c>
      <c r="D293" s="51" t="s">
        <v>84</v>
      </c>
      <c r="E293" s="51" t="s">
        <v>1051</v>
      </c>
      <c r="F293" s="55" t="s">
        <v>277</v>
      </c>
      <c r="G293" s="69" t="s">
        <v>769</v>
      </c>
    </row>
    <row r="294" spans="3:7" x14ac:dyDescent="0.35">
      <c r="C294" s="68">
        <v>61800010</v>
      </c>
      <c r="D294" s="51" t="s">
        <v>85</v>
      </c>
      <c r="E294" s="51" t="s">
        <v>1052</v>
      </c>
      <c r="F294" s="55" t="s">
        <v>290</v>
      </c>
      <c r="G294" s="69" t="s">
        <v>769</v>
      </c>
    </row>
    <row r="295" spans="3:7" x14ac:dyDescent="0.35">
      <c r="C295" s="68">
        <v>61800020</v>
      </c>
      <c r="D295" s="68" t="s">
        <v>86</v>
      </c>
      <c r="E295" s="68" t="s">
        <v>1127</v>
      </c>
      <c r="F295" s="68" t="s">
        <v>290</v>
      </c>
      <c r="G295" s="69" t="s">
        <v>769</v>
      </c>
    </row>
    <row r="296" spans="3:7" x14ac:dyDescent="0.35">
      <c r="C296" s="68">
        <v>61800030</v>
      </c>
      <c r="D296" s="68" t="s">
        <v>87</v>
      </c>
      <c r="E296" s="68" t="s">
        <v>1054</v>
      </c>
      <c r="F296" s="68" t="s">
        <v>290</v>
      </c>
      <c r="G296" s="69" t="s">
        <v>769</v>
      </c>
    </row>
    <row r="297" spans="3:7" x14ac:dyDescent="0.35">
      <c r="C297" s="68">
        <v>61800090</v>
      </c>
      <c r="D297" s="68" t="s">
        <v>88</v>
      </c>
      <c r="E297" s="68" t="s">
        <v>1128</v>
      </c>
      <c r="F297" s="68" t="s">
        <v>290</v>
      </c>
      <c r="G297" s="69" t="s">
        <v>769</v>
      </c>
    </row>
    <row r="298" spans="3:7" x14ac:dyDescent="0.35">
      <c r="C298" s="68">
        <v>61900010</v>
      </c>
      <c r="D298" s="68" t="s">
        <v>89</v>
      </c>
      <c r="E298" s="68" t="s">
        <v>1129</v>
      </c>
      <c r="F298" s="68" t="s">
        <v>227</v>
      </c>
      <c r="G298" s="69" t="s">
        <v>769</v>
      </c>
    </row>
    <row r="299" spans="3:7" x14ac:dyDescent="0.35">
      <c r="C299" s="68">
        <v>61900020</v>
      </c>
      <c r="D299" s="68" t="s">
        <v>91</v>
      </c>
      <c r="E299" s="68" t="s">
        <v>1130</v>
      </c>
      <c r="F299" s="68" t="s">
        <v>227</v>
      </c>
      <c r="G299" s="69" t="s">
        <v>769</v>
      </c>
    </row>
    <row r="300" spans="3:7" x14ac:dyDescent="0.35">
      <c r="C300" s="68">
        <v>61900030</v>
      </c>
      <c r="D300" s="68" t="s">
        <v>92</v>
      </c>
      <c r="E300" s="68" t="s">
        <v>1131</v>
      </c>
      <c r="F300" s="68" t="s">
        <v>227</v>
      </c>
      <c r="G300" s="69" t="s">
        <v>769</v>
      </c>
    </row>
    <row r="301" spans="3:7" x14ac:dyDescent="0.35">
      <c r="C301" s="68">
        <v>61900040</v>
      </c>
      <c r="D301" s="68" t="s">
        <v>93</v>
      </c>
      <c r="E301" s="68" t="s">
        <v>1132</v>
      </c>
      <c r="F301" s="68" t="s">
        <v>227</v>
      </c>
      <c r="G301" s="69" t="s">
        <v>769</v>
      </c>
    </row>
    <row r="302" spans="3:7" x14ac:dyDescent="0.35">
      <c r="C302" s="68">
        <v>61900090</v>
      </c>
      <c r="D302" s="68" t="s">
        <v>94</v>
      </c>
      <c r="E302" s="68" t="s">
        <v>1133</v>
      </c>
      <c r="F302" s="68" t="s">
        <v>227</v>
      </c>
      <c r="G302" s="69" t="s">
        <v>769</v>
      </c>
    </row>
    <row r="303" spans="3:7" x14ac:dyDescent="0.35">
      <c r="C303" s="68">
        <v>62000010</v>
      </c>
      <c r="D303" s="68" t="s">
        <v>95</v>
      </c>
      <c r="E303" s="68" t="s">
        <v>1134</v>
      </c>
      <c r="F303" s="68" t="s">
        <v>279</v>
      </c>
      <c r="G303" s="68" t="s">
        <v>128</v>
      </c>
    </row>
    <row r="304" spans="3:7" x14ac:dyDescent="0.35">
      <c r="C304" s="68">
        <v>62000020</v>
      </c>
      <c r="D304" s="68" t="s">
        <v>96</v>
      </c>
      <c r="E304" s="68" t="s">
        <v>1135</v>
      </c>
      <c r="F304" s="68" t="s">
        <v>279</v>
      </c>
      <c r="G304" s="68" t="s">
        <v>905</v>
      </c>
    </row>
    <row r="305" spans="3:7" x14ac:dyDescent="0.35">
      <c r="C305" s="68">
        <v>62000040</v>
      </c>
      <c r="D305" s="68" t="s">
        <v>97</v>
      </c>
      <c r="E305" s="68" t="s">
        <v>1136</v>
      </c>
      <c r="F305" s="68" t="s">
        <v>279</v>
      </c>
      <c r="G305" s="69" t="s">
        <v>769</v>
      </c>
    </row>
    <row r="306" spans="3:7" x14ac:dyDescent="0.35">
      <c r="C306" s="68">
        <v>62100010</v>
      </c>
      <c r="D306" s="68" t="s">
        <v>98</v>
      </c>
      <c r="E306" s="68" t="s">
        <v>1137</v>
      </c>
      <c r="F306" s="68" t="s">
        <v>280</v>
      </c>
      <c r="G306" s="68" t="s">
        <v>90</v>
      </c>
    </row>
    <row r="307" spans="3:7" x14ac:dyDescent="0.35">
      <c r="C307" s="68">
        <v>62100020</v>
      </c>
      <c r="D307" s="68" t="s">
        <v>100</v>
      </c>
      <c r="E307" s="68" t="s">
        <v>1138</v>
      </c>
      <c r="F307" s="68" t="s">
        <v>280</v>
      </c>
      <c r="G307" s="68" t="s">
        <v>90</v>
      </c>
    </row>
    <row r="308" spans="3:7" x14ac:dyDescent="0.35">
      <c r="C308" s="68">
        <v>62100030</v>
      </c>
      <c r="D308" s="68" t="s">
        <v>101</v>
      </c>
      <c r="E308" s="68" t="s">
        <v>1139</v>
      </c>
      <c r="F308" s="68" t="s">
        <v>280</v>
      </c>
      <c r="G308" s="68" t="s">
        <v>90</v>
      </c>
    </row>
    <row r="309" spans="3:7" x14ac:dyDescent="0.35">
      <c r="C309" s="68">
        <v>62100040</v>
      </c>
      <c r="D309" s="68" t="s">
        <v>103</v>
      </c>
      <c r="E309" s="68" t="s">
        <v>1140</v>
      </c>
      <c r="F309" s="68" t="s">
        <v>280</v>
      </c>
      <c r="G309" s="68" t="s">
        <v>90</v>
      </c>
    </row>
    <row r="310" spans="3:7" x14ac:dyDescent="0.35">
      <c r="C310" s="68">
        <v>62100050</v>
      </c>
      <c r="D310" s="68" t="s">
        <v>254</v>
      </c>
      <c r="E310" s="68" t="s">
        <v>1141</v>
      </c>
      <c r="F310" s="68" t="s">
        <v>280</v>
      </c>
      <c r="G310" s="68" t="s">
        <v>90</v>
      </c>
    </row>
    <row r="311" spans="3:7" x14ac:dyDescent="0.35">
      <c r="C311" s="68">
        <v>62200010</v>
      </c>
      <c r="D311" s="68" t="s">
        <v>106</v>
      </c>
      <c r="E311" s="68" t="s">
        <v>1142</v>
      </c>
      <c r="F311" s="68" t="s">
        <v>281</v>
      </c>
      <c r="G311" s="69" t="s">
        <v>769</v>
      </c>
    </row>
    <row r="312" spans="3:7" ht="29" x14ac:dyDescent="0.35">
      <c r="C312" s="68">
        <v>62200020</v>
      </c>
      <c r="D312" s="68" t="s">
        <v>108</v>
      </c>
      <c r="E312" s="68" t="s">
        <v>1143</v>
      </c>
      <c r="F312" s="68" t="s">
        <v>281</v>
      </c>
      <c r="G312" s="69" t="s">
        <v>769</v>
      </c>
    </row>
    <row r="313" spans="3:7" x14ac:dyDescent="0.35">
      <c r="C313" s="68">
        <v>62300010</v>
      </c>
      <c r="D313" s="68" t="s">
        <v>110</v>
      </c>
      <c r="E313" s="68" t="s">
        <v>1144</v>
      </c>
      <c r="F313" s="68" t="s">
        <v>282</v>
      </c>
      <c r="G313" s="69" t="s">
        <v>769</v>
      </c>
    </row>
    <row r="314" spans="3:7" ht="29" x14ac:dyDescent="0.35">
      <c r="C314" s="68">
        <v>62300020</v>
      </c>
      <c r="D314" s="68" t="s">
        <v>112</v>
      </c>
      <c r="E314" s="68" t="s">
        <v>1145</v>
      </c>
      <c r="F314" s="68" t="s">
        <v>282</v>
      </c>
      <c r="G314" s="69" t="s">
        <v>769</v>
      </c>
    </row>
    <row r="315" spans="3:7" ht="29" x14ac:dyDescent="0.35">
      <c r="C315" s="68">
        <v>62400030</v>
      </c>
      <c r="D315" s="68" t="s">
        <v>114</v>
      </c>
      <c r="E315" s="68" t="s">
        <v>1146</v>
      </c>
      <c r="F315" s="68" t="s">
        <v>283</v>
      </c>
      <c r="G315" s="69" t="s">
        <v>769</v>
      </c>
    </row>
    <row r="316" spans="3:7" ht="29" x14ac:dyDescent="0.35">
      <c r="C316" s="68">
        <v>62400040</v>
      </c>
      <c r="D316" s="68" t="s">
        <v>116</v>
      </c>
      <c r="E316" s="68" t="s">
        <v>1147</v>
      </c>
      <c r="F316" s="68" t="s">
        <v>283</v>
      </c>
      <c r="G316" s="69" t="s">
        <v>769</v>
      </c>
    </row>
    <row r="317" spans="3:7" x14ac:dyDescent="0.35">
      <c r="C317" s="68">
        <v>62400060</v>
      </c>
      <c r="D317" s="68" t="s">
        <v>255</v>
      </c>
      <c r="E317" s="68" t="s">
        <v>1148</v>
      </c>
      <c r="F317" s="68" t="s">
        <v>283</v>
      </c>
      <c r="G317" s="68" t="s">
        <v>128</v>
      </c>
    </row>
    <row r="318" spans="3:7" x14ac:dyDescent="0.35">
      <c r="C318" s="68">
        <v>62500010</v>
      </c>
      <c r="D318" s="68" t="s">
        <v>117</v>
      </c>
      <c r="E318" s="68" t="s">
        <v>1149</v>
      </c>
      <c r="F318" s="68" t="s">
        <v>117</v>
      </c>
      <c r="G318" s="68" t="s">
        <v>16</v>
      </c>
    </row>
    <row r="319" spans="3:7" ht="29" x14ac:dyDescent="0.35">
      <c r="C319" s="68">
        <v>62600010</v>
      </c>
      <c r="D319" s="68" t="s">
        <v>119</v>
      </c>
      <c r="E319" s="68" t="s">
        <v>1150</v>
      </c>
      <c r="F319" s="68" t="s">
        <v>284</v>
      </c>
      <c r="G319" s="69" t="s">
        <v>769</v>
      </c>
    </row>
    <row r="320" spans="3:7" x14ac:dyDescent="0.35">
      <c r="C320" s="68">
        <v>62600020</v>
      </c>
      <c r="D320" s="68" t="s">
        <v>120</v>
      </c>
      <c r="E320" s="68" t="s">
        <v>1151</v>
      </c>
      <c r="F320" s="68" t="s">
        <v>284</v>
      </c>
      <c r="G320" s="69" t="s">
        <v>769</v>
      </c>
    </row>
    <row r="321" spans="1:7" x14ac:dyDescent="0.35">
      <c r="C321" s="68">
        <v>62600030</v>
      </c>
      <c r="D321" s="68" t="s">
        <v>121</v>
      </c>
      <c r="E321" s="68" t="s">
        <v>1152</v>
      </c>
      <c r="F321" s="68" t="s">
        <v>284</v>
      </c>
      <c r="G321" s="69" t="s">
        <v>769</v>
      </c>
    </row>
    <row r="322" spans="1:7" x14ac:dyDescent="0.35">
      <c r="C322" s="68">
        <v>62700010</v>
      </c>
      <c r="D322" s="68" t="s">
        <v>256</v>
      </c>
      <c r="E322" s="68" t="s">
        <v>1153</v>
      </c>
      <c r="F322" s="68" t="s">
        <v>256</v>
      </c>
      <c r="G322" s="68" t="s">
        <v>128</v>
      </c>
    </row>
    <row r="323" spans="1:7" x14ac:dyDescent="0.35">
      <c r="C323" s="68">
        <v>62800010</v>
      </c>
      <c r="D323" s="68" t="s">
        <v>257</v>
      </c>
      <c r="E323" s="68" t="s">
        <v>1154</v>
      </c>
      <c r="F323" s="68" t="s">
        <v>257</v>
      </c>
      <c r="G323" s="68" t="s">
        <v>130</v>
      </c>
    </row>
    <row r="324" spans="1:7" x14ac:dyDescent="0.35">
      <c r="C324" s="68">
        <v>62900010</v>
      </c>
      <c r="D324" s="68" t="s">
        <v>122</v>
      </c>
      <c r="E324" s="68" t="s">
        <v>521</v>
      </c>
      <c r="F324" s="68" t="s">
        <v>285</v>
      </c>
      <c r="G324" s="69" t="s">
        <v>769</v>
      </c>
    </row>
    <row r="325" spans="1:7" x14ac:dyDescent="0.35">
      <c r="C325" s="68">
        <v>62900020</v>
      </c>
      <c r="D325" s="68" t="s">
        <v>124</v>
      </c>
      <c r="E325" s="68" t="s">
        <v>1155</v>
      </c>
      <c r="F325" s="68" t="s">
        <v>285</v>
      </c>
      <c r="G325" s="69" t="s">
        <v>769</v>
      </c>
    </row>
    <row r="326" spans="1:7" x14ac:dyDescent="0.35">
      <c r="C326" s="68">
        <v>63300010</v>
      </c>
      <c r="D326" s="68" t="s">
        <v>913</v>
      </c>
      <c r="E326" s="68" t="s">
        <v>1156</v>
      </c>
      <c r="F326" s="68" t="s">
        <v>227</v>
      </c>
      <c r="G326" s="68"/>
    </row>
    <row r="327" spans="1:7" x14ac:dyDescent="0.35">
      <c r="C327" s="281">
        <v>63900010</v>
      </c>
      <c r="D327" s="60" t="s">
        <v>126</v>
      </c>
      <c r="E327" s="61" t="s">
        <v>1206</v>
      </c>
      <c r="F327" s="61" t="s">
        <v>293</v>
      </c>
      <c r="G327" s="61" t="s">
        <v>769</v>
      </c>
    </row>
    <row r="330" spans="1:7" s="271" customFormat="1" ht="16" x14ac:dyDescent="0.4">
      <c r="A330" s="297"/>
      <c r="B330" s="297"/>
      <c r="C330" s="272" t="s">
        <v>418</v>
      </c>
      <c r="D330" s="263" t="s">
        <v>319</v>
      </c>
    </row>
    <row r="331" spans="1:7" outlineLevel="1" x14ac:dyDescent="0.35"/>
    <row r="332" spans="1:7" outlineLevel="1" x14ac:dyDescent="0.35">
      <c r="C332" s="3" t="s">
        <v>993</v>
      </c>
    </row>
    <row r="333" spans="1:7" outlineLevel="1" x14ac:dyDescent="0.35"/>
    <row r="334" spans="1:7" outlineLevel="1" x14ac:dyDescent="0.35">
      <c r="B334" s="37" t="s">
        <v>752</v>
      </c>
      <c r="C334" s="37" t="s">
        <v>520</v>
      </c>
    </row>
    <row r="335" spans="1:7" outlineLevel="1" x14ac:dyDescent="0.35">
      <c r="C335" s="3" t="s">
        <v>994</v>
      </c>
    </row>
    <row r="336" spans="1:7" outlineLevel="1" x14ac:dyDescent="0.35"/>
    <row r="337" spans="2:5" outlineLevel="1" x14ac:dyDescent="0.35">
      <c r="B337" s="37" t="s">
        <v>753</v>
      </c>
      <c r="C337" s="37" t="s">
        <v>538</v>
      </c>
    </row>
    <row r="338" spans="2:5" outlineLevel="1" x14ac:dyDescent="0.35">
      <c r="C338" s="3" t="s">
        <v>995</v>
      </c>
    </row>
    <row r="339" spans="2:5" outlineLevel="1" x14ac:dyDescent="0.35">
      <c r="C339" s="3" t="s">
        <v>996</v>
      </c>
    </row>
    <row r="340" spans="2:5" outlineLevel="1" x14ac:dyDescent="0.35"/>
    <row r="341" spans="2:5" s="37" customFormat="1" outlineLevel="1" x14ac:dyDescent="0.35">
      <c r="B341" s="37" t="s">
        <v>754</v>
      </c>
      <c r="C341" s="37" t="s">
        <v>997</v>
      </c>
    </row>
    <row r="342" spans="2:5" outlineLevel="1" x14ac:dyDescent="0.35">
      <c r="C342" s="3" t="s">
        <v>998</v>
      </c>
    </row>
    <row r="343" spans="2:5" outlineLevel="1" x14ac:dyDescent="0.35">
      <c r="C343" s="3" t="s">
        <v>996</v>
      </c>
    </row>
    <row r="344" spans="2:5" outlineLevel="1" x14ac:dyDescent="0.35"/>
    <row r="345" spans="2:5" ht="101.5" outlineLevel="1" x14ac:dyDescent="0.35">
      <c r="C345" s="66" t="s">
        <v>322</v>
      </c>
      <c r="D345" s="67" t="s">
        <v>999</v>
      </c>
    </row>
    <row r="346" spans="2:5" ht="15.75" customHeight="1" outlineLevel="1" x14ac:dyDescent="0.35">
      <c r="C346" s="66" t="s">
        <v>262</v>
      </c>
      <c r="D346" s="67" t="s">
        <v>1000</v>
      </c>
    </row>
    <row r="347" spans="2:5" ht="29" outlineLevel="1" x14ac:dyDescent="0.35">
      <c r="C347" s="66" t="s">
        <v>32</v>
      </c>
      <c r="D347" s="67" t="s">
        <v>1230</v>
      </c>
      <c r="E347" s="274" t="s">
        <v>1195</v>
      </c>
    </row>
    <row r="348" spans="2:5" ht="45.75" customHeight="1" outlineLevel="1" x14ac:dyDescent="0.35">
      <c r="C348" s="66" t="s">
        <v>261</v>
      </c>
      <c r="D348" s="67" t="s">
        <v>1001</v>
      </c>
    </row>
    <row r="349" spans="2:5" ht="43.5" outlineLevel="1" x14ac:dyDescent="0.35">
      <c r="C349" s="66" t="s">
        <v>224</v>
      </c>
      <c r="D349" s="67" t="s">
        <v>1002</v>
      </c>
    </row>
  </sheetData>
  <sheetProtection formatRows="0"/>
  <hyperlinks>
    <hyperlink ref="D28" location="Cover!A1" display="Cover" xr:uid="{02FC1E70-7FD8-4AE2-AD00-EB7F08941841}"/>
    <hyperlink ref="D125" location="'Budget Opex Detail'!A1" display="Budget Opex Detail" xr:uid="{58D8AC3F-BB2D-4190-B6DC-1B2CABC4511B}"/>
    <hyperlink ref="D330" location="'Activity Master Opex'!A1" display="Activity Master" xr:uid="{EEFF1161-0028-415C-82B6-8519B8845253}"/>
    <hyperlink ref="D77" location="'Budget Capex Detail'!A1" display="Budget Capex Detail" xr:uid="{BC61B260-FFE7-46B7-9DEE-60A9EAD7DC66}"/>
    <hyperlink ref="C80" location="'Asset determination'!A1" display="'Asset determination" xr:uid="{2323D2E2-9B31-4F89-BEA0-08B54D4ACD3F}"/>
    <hyperlink ref="E347" location="'Master Data'!A1" display="Master Data" xr:uid="{1D336C3D-2B13-428C-809B-6998EEC2F7CE}"/>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4ECDD-CB1D-4097-B8AE-63ED7D677569}">
  <sheetPr>
    <tabColor rgb="FF339966"/>
  </sheetPr>
  <dimension ref="B1:D15"/>
  <sheetViews>
    <sheetView showGridLines="0" zoomScale="80" zoomScaleNormal="80" workbookViewId="0">
      <pane xSplit="8" topLeftCell="I1" activePane="topRight" state="frozen"/>
      <selection activeCell="D314" sqref="D314"/>
      <selection pane="topRight"/>
    </sheetView>
  </sheetViews>
  <sheetFormatPr defaultColWidth="9.1796875" defaultRowHeight="14.5" outlineLevelRow="1" x14ac:dyDescent="0.35"/>
  <cols>
    <col min="1" max="1" width="5.26953125" style="84" customWidth="1"/>
    <col min="2" max="2" width="14.81640625" style="84" customWidth="1"/>
    <col min="3" max="3" width="10.7265625" style="84" bestFit="1" customWidth="1"/>
    <col min="4" max="16" width="9.1796875" style="84"/>
    <col min="17" max="17" width="29.453125" style="84" bestFit="1" customWidth="1"/>
    <col min="18" max="18" width="40.54296875" style="84" bestFit="1" customWidth="1"/>
    <col min="19" max="19" width="10.7265625" style="84" bestFit="1" customWidth="1"/>
    <col min="20" max="16384" width="9.1796875" style="84"/>
  </cols>
  <sheetData>
    <row r="1" spans="2:4" outlineLevel="1" x14ac:dyDescent="0.35"/>
    <row r="2" spans="2:4" outlineLevel="1" x14ac:dyDescent="0.35">
      <c r="B2" s="96"/>
      <c r="C2" s="97"/>
    </row>
    <row r="3" spans="2:4" outlineLevel="1" x14ac:dyDescent="0.35"/>
    <row r="4" spans="2:4" outlineLevel="1" x14ac:dyDescent="0.35"/>
    <row r="5" spans="2:4" outlineLevel="1" x14ac:dyDescent="0.35"/>
    <row r="6" spans="2:4" outlineLevel="1" x14ac:dyDescent="0.35"/>
    <row r="7" spans="2:4" outlineLevel="1" x14ac:dyDescent="0.35"/>
    <row r="8" spans="2:4" outlineLevel="1" x14ac:dyDescent="0.35"/>
    <row r="9" spans="2:4" outlineLevel="1" x14ac:dyDescent="0.35"/>
    <row r="10" spans="2:4" outlineLevel="1" x14ac:dyDescent="0.35">
      <c r="C10" s="98"/>
    </row>
    <row r="15" spans="2:4" x14ac:dyDescent="0.35">
      <c r="D15" s="84" t="s">
        <v>1157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80" zoomScaleNormal="80" workbookViewId="0">
      <selection activeCell="B1" sqref="B1"/>
    </sheetView>
  </sheetViews>
  <sheetFormatPr defaultColWidth="9.1796875" defaultRowHeight="14.5" x14ac:dyDescent="0.35"/>
  <cols>
    <col min="1" max="1" width="4" style="84" customWidth="1"/>
    <col min="2" max="2" width="27.453125" style="84" customWidth="1"/>
    <col min="3" max="3" width="2.7265625" style="84" customWidth="1"/>
    <col min="4" max="4" width="34.1796875" style="84" customWidth="1"/>
    <col min="5" max="5" width="3.54296875" style="84" customWidth="1"/>
    <col min="6" max="6" width="28.1796875" style="84" customWidth="1"/>
    <col min="7" max="7" width="3.26953125" style="84" customWidth="1"/>
    <col min="8" max="8" width="4.1796875" style="84" hidden="1" customWidth="1"/>
    <col min="9" max="9" width="9.1796875" style="84"/>
    <col min="10" max="15" width="18.54296875" style="84" customWidth="1"/>
    <col min="16" max="16384" width="9.1796875" style="84"/>
  </cols>
  <sheetData>
    <row r="1" spans="1:9" x14ac:dyDescent="0.35">
      <c r="A1" s="3"/>
      <c r="B1" s="3"/>
      <c r="C1" s="3"/>
      <c r="D1" s="3"/>
      <c r="E1" s="3"/>
      <c r="F1" s="3"/>
      <c r="G1" s="3"/>
      <c r="H1" s="3"/>
    </row>
    <row r="2" spans="1:9" ht="31" x14ac:dyDescent="0.7">
      <c r="A2" s="3"/>
      <c r="B2" s="3"/>
      <c r="C2" s="99" t="s">
        <v>132</v>
      </c>
      <c r="D2" s="4"/>
      <c r="E2" s="3"/>
      <c r="F2" s="3"/>
      <c r="G2" s="3"/>
      <c r="H2" s="3"/>
    </row>
    <row r="3" spans="1:9" x14ac:dyDescent="0.35">
      <c r="A3" s="3"/>
      <c r="B3" s="3"/>
      <c r="C3" s="3"/>
      <c r="D3" s="3"/>
      <c r="E3" s="3"/>
      <c r="F3" s="3"/>
      <c r="G3" s="3"/>
      <c r="H3" s="3"/>
    </row>
    <row r="4" spans="1:9" x14ac:dyDescent="0.35">
      <c r="A4" s="3"/>
      <c r="B4" s="3"/>
      <c r="C4" s="3"/>
      <c r="D4" s="3"/>
      <c r="E4" s="3"/>
      <c r="F4" s="3"/>
      <c r="G4" s="3"/>
      <c r="H4" s="3"/>
    </row>
    <row r="5" spans="1:9" x14ac:dyDescent="0.35">
      <c r="A5" s="3"/>
      <c r="B5" s="3"/>
      <c r="C5" s="3"/>
      <c r="D5" s="3"/>
      <c r="E5" s="3"/>
      <c r="F5" s="3"/>
      <c r="G5" s="3"/>
      <c r="H5" s="3"/>
    </row>
    <row r="6" spans="1:9" x14ac:dyDescent="0.35">
      <c r="A6" s="3"/>
      <c r="B6" s="37" t="s">
        <v>9</v>
      </c>
      <c r="C6" s="37" t="s">
        <v>133</v>
      </c>
      <c r="D6" s="100">
        <v>2026</v>
      </c>
      <c r="E6" s="3"/>
      <c r="F6" s="3"/>
      <c r="G6" s="3"/>
      <c r="H6" s="3"/>
    </row>
    <row r="7" spans="1:9" x14ac:dyDescent="0.35">
      <c r="A7" s="3"/>
      <c r="B7" s="37" t="s">
        <v>1208</v>
      </c>
      <c r="C7" s="37" t="s">
        <v>133</v>
      </c>
      <c r="D7" s="100" t="s">
        <v>13</v>
      </c>
      <c r="E7" s="3"/>
      <c r="F7" s="3"/>
      <c r="G7" s="3"/>
      <c r="H7" s="3"/>
    </row>
    <row r="8" spans="1:9" x14ac:dyDescent="0.35">
      <c r="A8" s="3"/>
      <c r="B8" s="37" t="s">
        <v>127</v>
      </c>
      <c r="C8" s="37" t="s">
        <v>133</v>
      </c>
      <c r="D8" s="100" t="s">
        <v>603</v>
      </c>
      <c r="E8" s="3"/>
      <c r="F8" s="3"/>
      <c r="G8" s="3"/>
      <c r="H8" s="3"/>
    </row>
    <row r="9" spans="1:9" x14ac:dyDescent="0.35">
      <c r="A9" s="101"/>
      <c r="B9" s="37" t="s">
        <v>12</v>
      </c>
      <c r="C9" s="37" t="s">
        <v>133</v>
      </c>
      <c r="D9" s="100" t="s">
        <v>603</v>
      </c>
      <c r="E9" s="3"/>
      <c r="F9" s="3"/>
      <c r="G9" s="3"/>
      <c r="H9" s="3"/>
    </row>
    <row r="10" spans="1:9" x14ac:dyDescent="0.35">
      <c r="A10" s="102"/>
      <c r="B10" s="102"/>
      <c r="C10" s="102"/>
      <c r="D10" s="102"/>
      <c r="E10" s="102"/>
      <c r="F10" s="102"/>
      <c r="G10" s="102"/>
      <c r="H10" s="102"/>
    </row>
    <row r="11" spans="1:9" x14ac:dyDescent="0.35">
      <c r="A11" s="102"/>
      <c r="B11" s="102"/>
      <c r="C11" s="102"/>
      <c r="D11" s="102"/>
      <c r="E11" s="102"/>
      <c r="F11" s="102"/>
      <c r="G11" s="102"/>
      <c r="H11" s="102"/>
    </row>
    <row r="12" spans="1:9" s="102" customFormat="1" ht="14.25" customHeight="1" x14ac:dyDescent="0.35">
      <c r="B12" s="103"/>
      <c r="C12" s="103"/>
      <c r="D12" s="103"/>
      <c r="E12" s="103"/>
      <c r="F12" s="103"/>
      <c r="G12" s="103"/>
      <c r="H12" s="103"/>
    </row>
    <row r="13" spans="1:9" s="102" customFormat="1" ht="14.25" customHeight="1" x14ac:dyDescent="0.35">
      <c r="B13" s="311" t="s">
        <v>438</v>
      </c>
      <c r="C13" s="313"/>
      <c r="F13" s="103"/>
      <c r="G13" s="103"/>
    </row>
    <row r="14" spans="1:9" s="102" customFormat="1" ht="14.25" customHeight="1" x14ac:dyDescent="0.35">
      <c r="B14" s="327" t="s">
        <v>608</v>
      </c>
      <c r="C14" s="327"/>
      <c r="F14" s="103"/>
      <c r="G14" s="103"/>
      <c r="H14" s="103"/>
      <c r="I14" s="103"/>
    </row>
    <row r="15" spans="1:9" s="102" customFormat="1" ht="14.25" customHeight="1" x14ac:dyDescent="0.35">
      <c r="B15" s="327"/>
      <c r="C15" s="327"/>
      <c r="F15" s="103"/>
      <c r="G15" s="103"/>
      <c r="H15" s="103"/>
      <c r="I15" s="103"/>
    </row>
    <row r="16" spans="1:9" s="102" customFormat="1" ht="14.25" customHeight="1" x14ac:dyDescent="0.35">
      <c r="B16" s="321"/>
      <c r="C16" s="322"/>
      <c r="F16" s="103"/>
      <c r="G16" s="103"/>
      <c r="H16" s="103"/>
      <c r="I16" s="103"/>
    </row>
    <row r="17" spans="2:15" s="102" customFormat="1" ht="14.25" customHeight="1" x14ac:dyDescent="0.35">
      <c r="B17" s="323"/>
      <c r="C17" s="324"/>
      <c r="F17" s="103"/>
      <c r="G17" s="103"/>
      <c r="H17" s="103"/>
      <c r="I17" s="103"/>
    </row>
    <row r="18" spans="2:15" s="102" customFormat="1" ht="14.25" customHeight="1" x14ac:dyDescent="0.35">
      <c r="B18" s="323"/>
      <c r="C18" s="324"/>
      <c r="F18" s="103"/>
      <c r="G18" s="103"/>
      <c r="H18" s="103"/>
      <c r="I18" s="103"/>
    </row>
    <row r="19" spans="2:15" s="102" customFormat="1" ht="14.25" customHeight="1" x14ac:dyDescent="0.35">
      <c r="B19" s="325" t="s">
        <v>1207</v>
      </c>
      <c r="C19" s="326"/>
      <c r="F19" s="103"/>
      <c r="G19" s="103"/>
      <c r="H19" s="103"/>
      <c r="I19" s="103"/>
    </row>
    <row r="20" spans="2:15" s="102" customFormat="1" ht="14.25" customHeight="1" x14ac:dyDescent="0.35">
      <c r="G20" s="103"/>
      <c r="H20" s="103"/>
      <c r="I20" s="103"/>
      <c r="J20" s="103"/>
    </row>
    <row r="21" spans="2:15" s="102" customFormat="1" ht="14.25" customHeight="1" x14ac:dyDescent="0.35">
      <c r="G21" s="103"/>
      <c r="H21" s="103"/>
      <c r="I21" s="103"/>
      <c r="J21" s="103"/>
    </row>
    <row r="22" spans="2:15" s="102" customFormat="1" ht="14.25" customHeight="1" x14ac:dyDescent="0.35">
      <c r="H22" s="104"/>
      <c r="I22" s="105"/>
    </row>
    <row r="23" spans="2:15" s="102" customFormat="1" ht="15" customHeight="1" x14ac:dyDescent="0.35">
      <c r="H23" s="104"/>
      <c r="I23" s="105"/>
    </row>
    <row r="24" spans="2:15" s="102" customFormat="1" ht="15" customHeight="1" x14ac:dyDescent="0.35">
      <c r="B24" s="318" t="s">
        <v>325</v>
      </c>
      <c r="C24" s="319"/>
      <c r="D24" s="319"/>
      <c r="E24" s="319"/>
      <c r="F24" s="319"/>
      <c r="G24" s="319"/>
      <c r="H24" s="319"/>
      <c r="I24" s="319"/>
      <c r="J24" s="319"/>
      <c r="K24" s="319"/>
      <c r="L24" s="320"/>
      <c r="M24" s="104"/>
      <c r="N24" s="104"/>
      <c r="O24" s="104"/>
    </row>
    <row r="25" spans="2:15" s="102" customFormat="1" ht="30.75" customHeight="1" x14ac:dyDescent="0.35">
      <c r="B25" s="308" t="s">
        <v>539</v>
      </c>
      <c r="C25" s="309"/>
      <c r="D25" s="310" t="s">
        <v>540</v>
      </c>
      <c r="E25" s="310"/>
      <c r="F25" s="310" t="s">
        <v>507</v>
      </c>
      <c r="G25" s="310"/>
      <c r="H25" s="106"/>
      <c r="I25" s="299" t="s">
        <v>508</v>
      </c>
      <c r="J25" s="300"/>
      <c r="K25" s="299" t="s">
        <v>509</v>
      </c>
      <c r="L25" s="300"/>
      <c r="M25" s="104"/>
      <c r="N25" s="104"/>
      <c r="O25" s="104"/>
    </row>
    <row r="26" spans="2:15" s="102" customFormat="1" ht="15" customHeight="1" x14ac:dyDescent="0.35">
      <c r="B26" s="107"/>
      <c r="C26" s="108"/>
      <c r="D26" s="109"/>
      <c r="E26" s="110"/>
      <c r="F26" s="109"/>
      <c r="G26" s="110"/>
      <c r="H26" s="110"/>
      <c r="I26" s="108"/>
      <c r="J26" s="111"/>
      <c r="K26" s="108"/>
      <c r="L26" s="111"/>
      <c r="M26" s="104"/>
      <c r="N26" s="104"/>
      <c r="O26" s="105"/>
    </row>
    <row r="27" spans="2:15" s="102" customFormat="1" ht="15" customHeight="1" x14ac:dyDescent="0.35">
      <c r="B27" s="112"/>
      <c r="C27" s="103"/>
      <c r="D27" s="113"/>
      <c r="E27" s="114"/>
      <c r="F27" s="113"/>
      <c r="G27" s="114"/>
      <c r="H27" s="114"/>
      <c r="I27" s="103"/>
      <c r="J27" s="115"/>
      <c r="K27" s="103"/>
      <c r="L27" s="115"/>
      <c r="M27" s="104"/>
      <c r="N27" s="104"/>
      <c r="O27" s="105"/>
    </row>
    <row r="28" spans="2:15" s="102" customFormat="1" ht="15" customHeight="1" x14ac:dyDescent="0.35">
      <c r="B28" s="112"/>
      <c r="C28" s="103"/>
      <c r="D28" s="113"/>
      <c r="E28" s="114"/>
      <c r="F28" s="113"/>
      <c r="G28" s="114"/>
      <c r="H28" s="114"/>
      <c r="I28" s="103"/>
      <c r="J28" s="115"/>
      <c r="K28" s="103"/>
      <c r="L28" s="115"/>
      <c r="M28" s="104"/>
      <c r="N28" s="104"/>
      <c r="O28" s="105"/>
    </row>
    <row r="29" spans="2:15" s="102" customFormat="1" ht="15" customHeight="1" x14ac:dyDescent="0.35">
      <c r="B29" s="301" t="s">
        <v>432</v>
      </c>
      <c r="C29" s="302"/>
      <c r="D29" s="303" t="s">
        <v>433</v>
      </c>
      <c r="E29" s="304"/>
      <c r="F29" s="305" t="s">
        <v>326</v>
      </c>
      <c r="G29" s="305"/>
      <c r="H29" s="116"/>
      <c r="I29" s="306" t="s">
        <v>434</v>
      </c>
      <c r="J29" s="307"/>
      <c r="K29" s="306" t="s">
        <v>435</v>
      </c>
      <c r="L29" s="307"/>
      <c r="M29" s="104"/>
      <c r="N29" s="104"/>
      <c r="O29" s="104"/>
    </row>
    <row r="30" spans="2:15" s="102" customFormat="1" ht="15" customHeight="1" x14ac:dyDescent="0.35"/>
    <row r="31" spans="2:15" s="117" customFormat="1" x14ac:dyDescent="0.35"/>
    <row r="32" spans="2:15" s="117" customFormat="1" hidden="1" x14ac:dyDescent="0.35"/>
    <row r="33" spans="2:5" s="117" customFormat="1" hidden="1" x14ac:dyDescent="0.35">
      <c r="E33" s="118" t="s">
        <v>436</v>
      </c>
    </row>
    <row r="34" spans="2:5" s="117" customFormat="1" hidden="1" x14ac:dyDescent="0.35">
      <c r="B34" s="311" t="s">
        <v>437</v>
      </c>
      <c r="C34" s="312"/>
      <c r="D34" s="312"/>
      <c r="E34" s="313"/>
    </row>
    <row r="35" spans="2:5" s="117" customFormat="1" hidden="1" x14ac:dyDescent="0.35">
      <c r="B35" s="314" t="s">
        <v>510</v>
      </c>
      <c r="C35" s="315"/>
      <c r="D35" s="310" t="s">
        <v>511</v>
      </c>
      <c r="E35" s="310"/>
    </row>
    <row r="36" spans="2:5" s="117" customFormat="1" hidden="1" x14ac:dyDescent="0.35">
      <c r="B36" s="107"/>
      <c r="C36" s="108"/>
      <c r="D36" s="109"/>
      <c r="E36" s="110"/>
    </row>
    <row r="37" spans="2:5" s="117" customFormat="1" hidden="1" x14ac:dyDescent="0.35">
      <c r="B37" s="112"/>
      <c r="C37" s="103"/>
      <c r="D37" s="113"/>
      <c r="E37" s="114"/>
    </row>
    <row r="38" spans="2:5" s="117" customFormat="1" hidden="1" x14ac:dyDescent="0.35">
      <c r="B38" s="112"/>
      <c r="C38" s="103"/>
      <c r="D38" s="113"/>
      <c r="E38" s="114"/>
    </row>
    <row r="39" spans="2:5" s="117" customFormat="1" hidden="1" x14ac:dyDescent="0.35">
      <c r="B39" s="301"/>
      <c r="C39" s="302"/>
      <c r="D39" s="316"/>
      <c r="E39" s="317"/>
    </row>
    <row r="40" spans="2:5" s="117" customFormat="1" hidden="1" x14ac:dyDescent="0.35"/>
    <row r="41" spans="2:5" s="117" customFormat="1" x14ac:dyDescent="0.35"/>
    <row r="42" spans="2:5" s="117" customFormat="1" x14ac:dyDescent="0.35"/>
    <row r="43" spans="2:5" s="117" customFormat="1" x14ac:dyDescent="0.35"/>
    <row r="44" spans="2:5" s="117" customFormat="1" x14ac:dyDescent="0.35"/>
    <row r="45" spans="2:5" s="117" customFormat="1" x14ac:dyDescent="0.35"/>
    <row r="46" spans="2:5" s="117" customFormat="1" x14ac:dyDescent="0.35"/>
    <row r="47" spans="2:5" s="117" customFormat="1" x14ac:dyDescent="0.35"/>
    <row r="48" spans="2:5" s="117" customFormat="1" x14ac:dyDescent="0.35"/>
    <row r="49" s="117" customFormat="1" x14ac:dyDescent="0.35"/>
    <row r="50" s="117" customFormat="1" x14ac:dyDescent="0.35"/>
    <row r="51" s="117" customFormat="1" x14ac:dyDescent="0.35"/>
    <row r="52" s="117" customFormat="1" x14ac:dyDescent="0.35"/>
    <row r="53" s="117" customFormat="1" x14ac:dyDescent="0.35"/>
    <row r="54" s="117" customFormat="1" x14ac:dyDescent="0.35"/>
    <row r="55" s="117" customFormat="1" x14ac:dyDescent="0.35"/>
    <row r="56" s="117" customFormat="1" x14ac:dyDescent="0.35"/>
    <row r="57" s="117" customFormat="1" x14ac:dyDescent="0.35"/>
    <row r="58" s="117" customFormat="1" x14ac:dyDescent="0.35"/>
    <row r="59" s="117" customFormat="1" x14ac:dyDescent="0.35"/>
    <row r="60" s="117" customFormat="1" x14ac:dyDescent="0.35"/>
    <row r="61" s="117" customFormat="1" x14ac:dyDescent="0.35"/>
    <row r="62" s="117" customFormat="1" x14ac:dyDescent="0.35"/>
    <row r="63" s="117" customFormat="1" x14ac:dyDescent="0.35"/>
    <row r="64" s="117" customFormat="1" x14ac:dyDescent="0.35"/>
    <row r="65" s="117" customFormat="1" x14ac:dyDescent="0.35"/>
    <row r="66" s="117" customFormat="1" x14ac:dyDescent="0.35"/>
    <row r="67" s="117" customFormat="1" x14ac:dyDescent="0.35"/>
    <row r="68" s="117" customFormat="1" x14ac:dyDescent="0.35"/>
    <row r="69" s="117" customFormat="1" x14ac:dyDescent="0.35"/>
    <row r="70" s="117" customFormat="1" x14ac:dyDescent="0.35"/>
    <row r="71" s="117" customFormat="1" x14ac:dyDescent="0.35"/>
    <row r="72" s="117" customFormat="1" x14ac:dyDescent="0.35"/>
    <row r="73" s="117" customFormat="1" x14ac:dyDescent="0.35"/>
  </sheetData>
  <mergeCells count="20">
    <mergeCell ref="B24:L24"/>
    <mergeCell ref="B16:C18"/>
    <mergeCell ref="B19:C19"/>
    <mergeCell ref="B14:C15"/>
    <mergeCell ref="B13:C13"/>
    <mergeCell ref="B34:E34"/>
    <mergeCell ref="B35:C35"/>
    <mergeCell ref="D35:E35"/>
    <mergeCell ref="B39:C39"/>
    <mergeCell ref="D39:E39"/>
    <mergeCell ref="K25:L25"/>
    <mergeCell ref="B29:C29"/>
    <mergeCell ref="D29:E29"/>
    <mergeCell ref="F29:G29"/>
    <mergeCell ref="K29:L29"/>
    <mergeCell ref="I25:J25"/>
    <mergeCell ref="I29:J29"/>
    <mergeCell ref="B25:C25"/>
    <mergeCell ref="D25:E25"/>
    <mergeCell ref="F25:G25"/>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'Master Data'!$B$7:$B$15</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25"/>
  <sheetViews>
    <sheetView showGridLines="0" view="pageBreakPreview" zoomScale="76" zoomScaleNormal="76" zoomScaleSheetLayoutView="76" workbookViewId="0">
      <pane xSplit="3" ySplit="3" topLeftCell="D4" activePane="bottomRight" state="frozen"/>
      <selection activeCell="J4" sqref="J4:J32"/>
      <selection pane="topRight" activeCell="J4" sqref="J4:J32"/>
      <selection pane="bottomLeft" activeCell="J4" sqref="J4:J32"/>
      <selection pane="bottomRight" activeCell="A4" sqref="A4"/>
    </sheetView>
  </sheetViews>
  <sheetFormatPr defaultColWidth="13.7265625" defaultRowHeight="15" customHeight="1" outlineLevelCol="1" x14ac:dyDescent="0.35"/>
  <cols>
    <col min="1" max="1" width="15.453125" style="119" customWidth="1"/>
    <col min="2" max="2" width="11.453125" style="119" customWidth="1"/>
    <col min="3" max="3" width="15.81640625" style="120" customWidth="1"/>
    <col min="4" max="4" width="13.453125" style="120" customWidth="1"/>
    <col min="5" max="5" width="9.1796875" style="120" customWidth="1"/>
    <col min="6" max="6" width="30.54296875" style="121" customWidth="1"/>
    <col min="7" max="7" width="15.54296875" style="120" customWidth="1"/>
    <col min="8" max="8" width="13.453125" style="120" customWidth="1"/>
    <col min="9" max="9" width="13.54296875" style="120" customWidth="1"/>
    <col min="10" max="10" width="20.7265625" style="120" customWidth="1"/>
    <col min="11" max="11" width="12.81640625" style="119" customWidth="1"/>
    <col min="12" max="12" width="20.453125" style="120" customWidth="1"/>
    <col min="13" max="13" width="17.26953125" style="122" customWidth="1"/>
    <col min="14" max="14" width="16" style="122" customWidth="1"/>
    <col min="15" max="15" width="9.1796875" style="123" customWidth="1" outlineLevel="1"/>
    <col min="16" max="16" width="10.1796875" style="123" customWidth="1" outlineLevel="1"/>
    <col min="17" max="26" width="10.453125" style="123" customWidth="1" outlineLevel="1"/>
    <col min="27" max="27" width="10.54296875" style="123" bestFit="1" customWidth="1"/>
    <col min="28" max="28" width="3.1796875" style="126" customWidth="1"/>
    <col min="29" max="41" width="10.54296875" style="123" customWidth="1"/>
    <col min="42" max="42" width="4.453125" style="126" customWidth="1"/>
    <col min="43" max="55" width="10.54296875" style="123" customWidth="1"/>
    <col min="56" max="56" width="10.7265625" style="123" customWidth="1"/>
    <col min="57" max="57" width="14.453125" style="122" customWidth="1"/>
    <col min="58" max="59" width="26.453125" style="122" customWidth="1"/>
    <col min="60" max="60" width="21.1796875" style="122" customWidth="1"/>
    <col min="61" max="61" width="16.7265625" style="122" customWidth="1"/>
    <col min="62" max="62" width="37.1796875" style="122" customWidth="1"/>
    <col min="63" max="64" width="31.453125" style="122" customWidth="1"/>
    <col min="65" max="65" width="35.7265625" style="122" customWidth="1"/>
    <col min="66" max="66" width="19.453125" style="122" customWidth="1"/>
    <col min="67" max="16384" width="13.7265625" style="122"/>
  </cols>
  <sheetData>
    <row r="1" spans="1:66" ht="15" customHeight="1" x14ac:dyDescent="0.35">
      <c r="K1" s="121"/>
      <c r="AB1" s="124"/>
      <c r="AC1" s="125"/>
      <c r="AD1" s="125"/>
      <c r="AQ1" s="125"/>
      <c r="AR1" s="125"/>
      <c r="BE1" s="127"/>
      <c r="BK1" s="128"/>
      <c r="BL1" s="128"/>
      <c r="BM1" s="128"/>
    </row>
    <row r="2" spans="1:66" ht="15" customHeight="1" x14ac:dyDescent="0.35">
      <c r="A2" s="151"/>
      <c r="B2" s="152"/>
      <c r="C2" s="153"/>
      <c r="D2" s="154"/>
      <c r="E2" s="155"/>
      <c r="F2" s="156"/>
      <c r="G2" s="153"/>
      <c r="H2" s="153"/>
      <c r="I2" s="153"/>
      <c r="J2" s="153"/>
      <c r="K2" s="156"/>
      <c r="L2" s="153"/>
      <c r="M2" s="157"/>
      <c r="N2" s="157"/>
      <c r="O2" s="158" t="s">
        <v>674</v>
      </c>
      <c r="P2" s="159"/>
      <c r="Q2" s="159"/>
      <c r="R2" s="159"/>
      <c r="S2" s="158"/>
      <c r="T2" s="159"/>
      <c r="U2" s="159"/>
      <c r="V2" s="159"/>
      <c r="W2" s="159"/>
      <c r="X2" s="159"/>
      <c r="Y2" s="159"/>
      <c r="Z2" s="159"/>
      <c r="AA2" s="159"/>
      <c r="AB2" s="160"/>
      <c r="AC2" s="158" t="s">
        <v>675</v>
      </c>
      <c r="AD2" s="159"/>
      <c r="AE2" s="159"/>
      <c r="AF2" s="159"/>
      <c r="AG2" s="158"/>
      <c r="AH2" s="159"/>
      <c r="AI2" s="159"/>
      <c r="AJ2" s="159"/>
      <c r="AK2" s="159"/>
      <c r="AL2" s="159"/>
      <c r="AM2" s="159"/>
      <c r="AN2" s="159"/>
      <c r="AO2" s="159"/>
      <c r="AP2" s="160"/>
      <c r="AQ2" s="158" t="s">
        <v>1197</v>
      </c>
      <c r="AR2" s="159"/>
      <c r="AS2" s="159"/>
      <c r="AT2" s="159"/>
      <c r="AU2" s="158"/>
      <c r="AV2" s="159"/>
      <c r="AW2" s="159"/>
      <c r="AX2" s="159"/>
      <c r="AY2" s="159"/>
      <c r="AZ2" s="159"/>
      <c r="BA2" s="159"/>
      <c r="BB2" s="159"/>
      <c r="BC2" s="161"/>
      <c r="BE2" s="127"/>
      <c r="BG2" s="129" t="s">
        <v>676</v>
      </c>
      <c r="BH2" s="130">
        <v>16500</v>
      </c>
      <c r="BK2" s="128"/>
      <c r="BL2" s="128"/>
      <c r="BM2" s="128"/>
    </row>
    <row r="3" spans="1:66" s="170" customFormat="1" ht="41.25" customHeight="1" x14ac:dyDescent="0.35">
      <c r="A3" s="162" t="s">
        <v>127</v>
      </c>
      <c r="B3" s="163" t="s">
        <v>11</v>
      </c>
      <c r="C3" s="163" t="s">
        <v>12</v>
      </c>
      <c r="D3" s="328" t="s">
        <v>32</v>
      </c>
      <c r="E3" s="328"/>
      <c r="F3" s="164" t="s">
        <v>223</v>
      </c>
      <c r="G3" s="163" t="s">
        <v>225</v>
      </c>
      <c r="H3" s="163" t="s">
        <v>419</v>
      </c>
      <c r="I3" s="163" t="s">
        <v>403</v>
      </c>
      <c r="J3" s="163" t="s">
        <v>672</v>
      </c>
      <c r="K3" s="164" t="s">
        <v>402</v>
      </c>
      <c r="L3" s="163" t="s">
        <v>673</v>
      </c>
      <c r="M3" s="163" t="s">
        <v>332</v>
      </c>
      <c r="N3" s="163" t="s">
        <v>333</v>
      </c>
      <c r="O3" s="165" t="s">
        <v>543</v>
      </c>
      <c r="P3" s="165" t="s">
        <v>544</v>
      </c>
      <c r="Q3" s="165" t="s">
        <v>545</v>
      </c>
      <c r="R3" s="165" t="s">
        <v>546</v>
      </c>
      <c r="S3" s="165" t="s">
        <v>547</v>
      </c>
      <c r="T3" s="165" t="s">
        <v>548</v>
      </c>
      <c r="U3" s="165" t="s">
        <v>549</v>
      </c>
      <c r="V3" s="165" t="s">
        <v>550</v>
      </c>
      <c r="W3" s="165" t="s">
        <v>551</v>
      </c>
      <c r="X3" s="165" t="s">
        <v>552</v>
      </c>
      <c r="Y3" s="165" t="s">
        <v>553</v>
      </c>
      <c r="Z3" s="165" t="s">
        <v>554</v>
      </c>
      <c r="AA3" s="165" t="s">
        <v>542</v>
      </c>
      <c r="AB3" s="166"/>
      <c r="AC3" s="165" t="s">
        <v>543</v>
      </c>
      <c r="AD3" s="165" t="s">
        <v>544</v>
      </c>
      <c r="AE3" s="165" t="s">
        <v>545</v>
      </c>
      <c r="AF3" s="165" t="s">
        <v>546</v>
      </c>
      <c r="AG3" s="165" t="s">
        <v>547</v>
      </c>
      <c r="AH3" s="165" t="s">
        <v>548</v>
      </c>
      <c r="AI3" s="165" t="s">
        <v>549</v>
      </c>
      <c r="AJ3" s="165" t="s">
        <v>550</v>
      </c>
      <c r="AK3" s="165" t="s">
        <v>551</v>
      </c>
      <c r="AL3" s="165" t="s">
        <v>552</v>
      </c>
      <c r="AM3" s="165" t="s">
        <v>553</v>
      </c>
      <c r="AN3" s="165" t="s">
        <v>554</v>
      </c>
      <c r="AO3" s="165" t="s">
        <v>542</v>
      </c>
      <c r="AP3" s="166"/>
      <c r="AQ3" s="165" t="s">
        <v>543</v>
      </c>
      <c r="AR3" s="165" t="s">
        <v>544</v>
      </c>
      <c r="AS3" s="165" t="s">
        <v>545</v>
      </c>
      <c r="AT3" s="165" t="s">
        <v>546</v>
      </c>
      <c r="AU3" s="165" t="s">
        <v>547</v>
      </c>
      <c r="AV3" s="165" t="s">
        <v>548</v>
      </c>
      <c r="AW3" s="165" t="s">
        <v>549</v>
      </c>
      <c r="AX3" s="165" t="s">
        <v>550</v>
      </c>
      <c r="AY3" s="165" t="s">
        <v>551</v>
      </c>
      <c r="AZ3" s="165" t="s">
        <v>552</v>
      </c>
      <c r="BA3" s="165" t="s">
        <v>553</v>
      </c>
      <c r="BB3" s="165" t="s">
        <v>554</v>
      </c>
      <c r="BC3" s="165" t="s">
        <v>542</v>
      </c>
      <c r="BD3" s="175" t="s">
        <v>463</v>
      </c>
      <c r="BE3" s="167" t="s">
        <v>334</v>
      </c>
      <c r="BF3" s="168" t="s">
        <v>316</v>
      </c>
      <c r="BG3" s="168" t="s">
        <v>440</v>
      </c>
      <c r="BH3" s="168" t="s">
        <v>441</v>
      </c>
      <c r="BI3" s="168" t="s">
        <v>541</v>
      </c>
      <c r="BJ3" s="167" t="s">
        <v>427</v>
      </c>
      <c r="BK3" s="169" t="s">
        <v>336</v>
      </c>
      <c r="BL3" s="169" t="s">
        <v>337</v>
      </c>
      <c r="BM3" s="169" t="s">
        <v>677</v>
      </c>
      <c r="BN3" s="169" t="s">
        <v>518</v>
      </c>
    </row>
    <row r="4" spans="1:66" s="150" customFormat="1" ht="29" x14ac:dyDescent="0.35">
      <c r="A4" s="131" t="str">
        <f>IF(D4="","",Cover!$D$8)</f>
        <v/>
      </c>
      <c r="B4" s="131" t="str">
        <f>IF(D4="","",Cover!$D$7)</f>
        <v/>
      </c>
      <c r="C4" s="132" t="str">
        <f>IF(F4="","",IFERROR(VLOOKUP(F4,'Master Data'!$E$59:$J$144,6,FALSE),0))</f>
        <v/>
      </c>
      <c r="D4" s="133" t="str">
        <f>IF(F4="","",IFERROR(VLOOKUP(F4,'Master Data'!$E$59:$L$147,8,FALSE),0))</f>
        <v/>
      </c>
      <c r="E4" s="132" t="str">
        <f>IF(D4="","",IFERROR(VLOOKUP(D4,'Master Data'!$D$59:$I$147,6,FALSE),0))</f>
        <v/>
      </c>
      <c r="F4" s="134"/>
      <c r="G4" s="135"/>
      <c r="H4" s="136">
        <f>IFERROR(VLOOKUP(G4,'Master Data'!$C$336:$I$353,7,FALSE),0)</f>
        <v>0</v>
      </c>
      <c r="I4" s="137">
        <f>IFERROR(VLOOKUP(H4,'Master Data'!$B$336:$D$351,3,FALSE),0)</f>
        <v>0</v>
      </c>
      <c r="J4" s="138">
        <f>IFERROR(VLOOKUP(H4,'Master Data'!$B$336:$H$353,7,FALSE),0)</f>
        <v>0</v>
      </c>
      <c r="K4" s="139"/>
      <c r="L4" s="140" t="str">
        <f>IFERROR(IF(I4="FIXED ASSET",J4&amp;E4&amp;K4,VLOOKUP(F4,'Master Data'!$E$59:$H$144,4,FALSE)&amp;"-"&amp;J4&amp;"-"&amp;K4),"-")</f>
        <v>-</v>
      </c>
      <c r="M4" s="134"/>
      <c r="N4" s="141"/>
      <c r="O4" s="142"/>
      <c r="P4" s="142"/>
      <c r="Q4" s="142"/>
      <c r="R4" s="142"/>
      <c r="S4" s="142"/>
      <c r="T4" s="142"/>
      <c r="U4" s="142"/>
      <c r="V4" s="142"/>
      <c r="W4" s="142"/>
      <c r="X4" s="142"/>
      <c r="Y4" s="142"/>
      <c r="Z4" s="142"/>
      <c r="AA4" s="143">
        <f>SUM(O4:Z4)</f>
        <v>0</v>
      </c>
      <c r="AB4" s="144"/>
      <c r="AC4" s="142"/>
      <c r="AD4" s="142"/>
      <c r="AE4" s="142"/>
      <c r="AF4" s="142"/>
      <c r="AG4" s="142"/>
      <c r="AH4" s="142"/>
      <c r="AI4" s="142"/>
      <c r="AJ4" s="142"/>
      <c r="AK4" s="142"/>
      <c r="AL4" s="142"/>
      <c r="AM4" s="142"/>
      <c r="AN4" s="142"/>
      <c r="AO4" s="143">
        <f>SUM(AC4:AN4)</f>
        <v>0</v>
      </c>
      <c r="AP4" s="144"/>
      <c r="AQ4" s="142"/>
      <c r="AR4" s="142"/>
      <c r="AS4" s="142"/>
      <c r="AT4" s="142"/>
      <c r="AU4" s="142"/>
      <c r="AV4" s="142"/>
      <c r="AW4" s="142"/>
      <c r="AX4" s="142"/>
      <c r="AY4" s="142"/>
      <c r="AZ4" s="142"/>
      <c r="BA4" s="142"/>
      <c r="BB4" s="142"/>
      <c r="BC4" s="143">
        <f>SUM(AQ4:BB4)</f>
        <v>0</v>
      </c>
      <c r="BD4" s="145">
        <f>+AA4-BI4</f>
        <v>0</v>
      </c>
      <c r="BE4" s="135"/>
      <c r="BF4" s="146"/>
      <c r="BG4" s="146"/>
      <c r="BH4" s="146"/>
      <c r="BI4" s="147">
        <f>IF(BG4="USD",BH4*$BH$2,IF(BG4="IDR",BH4,0))</f>
        <v>0</v>
      </c>
      <c r="BJ4" s="146"/>
      <c r="BK4" s="148" t="str">
        <f t="shared" ref="BK4:BK19" si="0">IF($I4="PROJECT","Please Fill Start Date","")</f>
        <v/>
      </c>
      <c r="BL4" s="148" t="str">
        <f>IF($I4="PROJECT","Please Fill Finish Date","")</f>
        <v/>
      </c>
      <c r="BM4" s="148" t="str">
        <f>IF(AA4&gt;0,"Please Fill Remarks","")</f>
        <v/>
      </c>
      <c r="BN4" s="149"/>
    </row>
    <row r="5" spans="1:66" s="150" customFormat="1" ht="29" x14ac:dyDescent="0.35">
      <c r="A5" s="131" t="str">
        <f>IF(D5="","",Cover!$D$8)</f>
        <v/>
      </c>
      <c r="B5" s="131" t="str">
        <f>IF(D5="","",Cover!$D$7)</f>
        <v/>
      </c>
      <c r="C5" s="132" t="str">
        <f>IF(F5="","",IFERROR(VLOOKUP(F5,'Master Data'!$E$59:$J$144,6,FALSE),0))</f>
        <v/>
      </c>
      <c r="D5" s="133" t="str">
        <f>IF(F5="","",IFERROR(VLOOKUP(F5,'Master Data'!$E$59:$L$147,8,FALSE),0))</f>
        <v/>
      </c>
      <c r="E5" s="132" t="str">
        <f>IF(D5="","",IFERROR(VLOOKUP(D5,'Master Data'!$D$59:$I$147,6,FALSE),0))</f>
        <v/>
      </c>
      <c r="F5" s="134"/>
      <c r="G5" s="135"/>
      <c r="H5" s="136">
        <f>IFERROR(VLOOKUP(G5,'Master Data'!$C$336:$I$353,7,FALSE),0)</f>
        <v>0</v>
      </c>
      <c r="I5" s="137">
        <f>IFERROR(VLOOKUP(H5,'Master Data'!$B$336:$D$351,3,FALSE),0)</f>
        <v>0</v>
      </c>
      <c r="J5" s="138">
        <f>IFERROR(VLOOKUP(H5,'Master Data'!$B$336:$H$353,7,FALSE),0)</f>
        <v>0</v>
      </c>
      <c r="K5" s="139"/>
      <c r="L5" s="140" t="str">
        <f>IFERROR(IF(I5="FIXED ASSET",J5&amp;E5&amp;K5,VLOOKUP(F5,'Master Data'!$E$59:$H$144,4,FALSE)&amp;"-"&amp;J5&amp;"-"&amp;K5),"-")</f>
        <v>-</v>
      </c>
      <c r="M5" s="134"/>
      <c r="N5" s="141"/>
      <c r="O5" s="142"/>
      <c r="P5" s="142"/>
      <c r="Q5" s="142"/>
      <c r="R5" s="142"/>
      <c r="S5" s="142"/>
      <c r="T5" s="142"/>
      <c r="U5" s="142"/>
      <c r="V5" s="142"/>
      <c r="W5" s="142"/>
      <c r="X5" s="142"/>
      <c r="Y5" s="142"/>
      <c r="Z5" s="142"/>
      <c r="AA5" s="143">
        <f t="shared" ref="AA5:AA25" si="1">SUM(O5:Z5)</f>
        <v>0</v>
      </c>
      <c r="AB5" s="144"/>
      <c r="AC5" s="142"/>
      <c r="AD5" s="142"/>
      <c r="AE5" s="142"/>
      <c r="AF5" s="142"/>
      <c r="AG5" s="142"/>
      <c r="AH5" s="142"/>
      <c r="AI5" s="142"/>
      <c r="AJ5" s="142"/>
      <c r="AK5" s="142"/>
      <c r="AL5" s="142"/>
      <c r="AM5" s="142"/>
      <c r="AN5" s="142"/>
      <c r="AO5" s="143">
        <f t="shared" ref="AO5:AO25" si="2">SUM(AC5:AN5)</f>
        <v>0</v>
      </c>
      <c r="AP5" s="144"/>
      <c r="AQ5" s="142"/>
      <c r="AR5" s="142"/>
      <c r="AS5" s="142"/>
      <c r="AT5" s="142"/>
      <c r="AU5" s="142"/>
      <c r="AV5" s="142"/>
      <c r="AW5" s="142"/>
      <c r="AX5" s="142"/>
      <c r="AY5" s="142"/>
      <c r="AZ5" s="142"/>
      <c r="BA5" s="142"/>
      <c r="BB5" s="142"/>
      <c r="BC5" s="143">
        <f t="shared" ref="BC5:BC25" si="3">SUM(AQ5:BB5)</f>
        <v>0</v>
      </c>
      <c r="BD5" s="145">
        <f t="shared" ref="BD5:BD25" si="4">+AA5-BI5</f>
        <v>0</v>
      </c>
      <c r="BE5" s="135"/>
      <c r="BF5" s="146"/>
      <c r="BG5" s="146"/>
      <c r="BH5" s="146"/>
      <c r="BI5" s="147">
        <f t="shared" ref="BI5:BI25" si="5">IF(BG5="USD",BH5*$BH$2,IF(BG5="IDR",BH5,0))</f>
        <v>0</v>
      </c>
      <c r="BJ5" s="146"/>
      <c r="BK5" s="148" t="str">
        <f t="shared" si="0"/>
        <v/>
      </c>
      <c r="BL5" s="148" t="str">
        <f t="shared" ref="BL5:BL25" si="6">IF($I5="PROJECT","Please Fill Finish Date","")</f>
        <v/>
      </c>
      <c r="BM5" s="148" t="str">
        <f t="shared" ref="BM5:BM25" si="7">IF(AA5&gt;0,"Please Fill Remarks","")</f>
        <v/>
      </c>
      <c r="BN5" s="149"/>
    </row>
    <row r="6" spans="1:66" s="150" customFormat="1" ht="28" customHeight="1" x14ac:dyDescent="0.35">
      <c r="A6" s="131" t="str">
        <f>IF(D6="","",Cover!$D$8)</f>
        <v/>
      </c>
      <c r="B6" s="131" t="str">
        <f>IF(D6="","",Cover!$D$7)</f>
        <v/>
      </c>
      <c r="C6" s="132" t="str">
        <f>IF(F6="","",IFERROR(VLOOKUP(F6,'Master Data'!$E$59:$J$144,6,FALSE),0))</f>
        <v/>
      </c>
      <c r="D6" s="133" t="str">
        <f>IF(F6="","",IFERROR(VLOOKUP(F6,'Master Data'!$E$59:$L$147,8,FALSE),0))</f>
        <v/>
      </c>
      <c r="E6" s="132" t="str">
        <f>IF(D6="","",IFERROR(VLOOKUP(D6,'Master Data'!$D$59:$I$147,6,FALSE),0))</f>
        <v/>
      </c>
      <c r="F6" s="134"/>
      <c r="G6" s="135"/>
      <c r="H6" s="136">
        <f>IFERROR(VLOOKUP(G6,'Master Data'!$C$336:$I$353,7,FALSE),0)</f>
        <v>0</v>
      </c>
      <c r="I6" s="137">
        <f>IFERROR(VLOOKUP(H6,'Master Data'!$B$336:$D$351,3,FALSE),0)</f>
        <v>0</v>
      </c>
      <c r="J6" s="138">
        <f>IFERROR(VLOOKUP(H6,'Master Data'!$B$336:$H$353,7,FALSE),0)</f>
        <v>0</v>
      </c>
      <c r="K6" s="139"/>
      <c r="L6" s="140" t="str">
        <f>IFERROR(IF(I6="FIXED ASSET",J6&amp;E6&amp;K6,VLOOKUP(F6,'Master Data'!$E$59:$H$144,4,FALSE)&amp;"-"&amp;J6&amp;"-"&amp;K6),"-")</f>
        <v>-</v>
      </c>
      <c r="M6" s="134"/>
      <c r="N6" s="141"/>
      <c r="O6" s="142"/>
      <c r="P6" s="142"/>
      <c r="Q6" s="142"/>
      <c r="R6" s="142"/>
      <c r="S6" s="142"/>
      <c r="T6" s="142"/>
      <c r="U6" s="142"/>
      <c r="V6" s="142"/>
      <c r="W6" s="142"/>
      <c r="X6" s="142"/>
      <c r="Y6" s="142"/>
      <c r="Z6" s="142"/>
      <c r="AA6" s="143">
        <f t="shared" si="1"/>
        <v>0</v>
      </c>
      <c r="AB6" s="144"/>
      <c r="AC6" s="142"/>
      <c r="AD6" s="142"/>
      <c r="AE6" s="142"/>
      <c r="AF6" s="142"/>
      <c r="AG6" s="142"/>
      <c r="AH6" s="142"/>
      <c r="AI6" s="142"/>
      <c r="AJ6" s="142"/>
      <c r="AK6" s="142"/>
      <c r="AL6" s="142"/>
      <c r="AM6" s="142"/>
      <c r="AN6" s="142"/>
      <c r="AO6" s="143">
        <f t="shared" si="2"/>
        <v>0</v>
      </c>
      <c r="AP6" s="144"/>
      <c r="AQ6" s="142"/>
      <c r="AR6" s="142"/>
      <c r="AS6" s="142"/>
      <c r="AT6" s="142"/>
      <c r="AU6" s="142"/>
      <c r="AV6" s="142"/>
      <c r="AW6" s="142"/>
      <c r="AX6" s="142"/>
      <c r="AY6" s="142"/>
      <c r="AZ6" s="142"/>
      <c r="BA6" s="142"/>
      <c r="BB6" s="142"/>
      <c r="BC6" s="143">
        <f t="shared" si="3"/>
        <v>0</v>
      </c>
      <c r="BD6" s="145">
        <f t="shared" si="4"/>
        <v>0</v>
      </c>
      <c r="BE6" s="135"/>
      <c r="BF6" s="146"/>
      <c r="BG6" s="146"/>
      <c r="BH6" s="146"/>
      <c r="BI6" s="147">
        <f t="shared" si="5"/>
        <v>0</v>
      </c>
      <c r="BJ6" s="146"/>
      <c r="BK6" s="148" t="str">
        <f t="shared" si="0"/>
        <v/>
      </c>
      <c r="BL6" s="148" t="str">
        <f t="shared" si="6"/>
        <v/>
      </c>
      <c r="BM6" s="148" t="str">
        <f t="shared" si="7"/>
        <v/>
      </c>
      <c r="BN6" s="149"/>
    </row>
    <row r="7" spans="1:66" s="52" customFormat="1" ht="28" customHeight="1" x14ac:dyDescent="0.35">
      <c r="A7" s="131" t="str">
        <f>IF(D7="","",Cover!$D$8)</f>
        <v/>
      </c>
      <c r="B7" s="131" t="str">
        <f>IF(D7="","",Cover!$D$7)</f>
        <v/>
      </c>
      <c r="C7" s="132" t="str">
        <f>IF(F7="","",IFERROR(VLOOKUP(F7,'Master Data'!$E$59:$J$144,6,FALSE),0))</f>
        <v/>
      </c>
      <c r="D7" s="133" t="str">
        <f>IF(F7="","",IFERROR(VLOOKUP(F7,'Master Data'!$E$59:$L$147,8,FALSE),0))</f>
        <v/>
      </c>
      <c r="E7" s="132" t="str">
        <f>IF(D7="","",IFERROR(VLOOKUP(D7,'Master Data'!$D$59:$I$147,6,FALSE),0))</f>
        <v/>
      </c>
      <c r="F7" s="134"/>
      <c r="G7" s="135"/>
      <c r="H7" s="136">
        <f>IFERROR(VLOOKUP(G7,'Master Data'!$C$336:$I$353,7,FALSE),0)</f>
        <v>0</v>
      </c>
      <c r="I7" s="137">
        <f>IFERROR(VLOOKUP(H7,'Master Data'!$B$336:$D$351,3,FALSE),0)</f>
        <v>0</v>
      </c>
      <c r="J7" s="138">
        <f>IFERROR(VLOOKUP(H7,'Master Data'!$B$336:$H$353,7,FALSE),0)</f>
        <v>0</v>
      </c>
      <c r="K7" s="139"/>
      <c r="L7" s="140" t="str">
        <f>IFERROR(IF(I7="FIXED ASSET",J7&amp;E7&amp;K7,VLOOKUP(F7,'Master Data'!$E$59:$H$144,4,FALSE)&amp;"-"&amp;J7&amp;"-"&amp;K7),"-")</f>
        <v>-</v>
      </c>
      <c r="M7" s="134"/>
      <c r="N7" s="141"/>
      <c r="O7" s="142"/>
      <c r="P7" s="142"/>
      <c r="Q7" s="142"/>
      <c r="R7" s="142"/>
      <c r="S7" s="142"/>
      <c r="T7" s="142"/>
      <c r="U7" s="142"/>
      <c r="V7" s="142"/>
      <c r="W7" s="142"/>
      <c r="X7" s="142"/>
      <c r="Y7" s="142"/>
      <c r="Z7" s="142"/>
      <c r="AA7" s="143">
        <f t="shared" si="1"/>
        <v>0</v>
      </c>
      <c r="AB7" s="144"/>
      <c r="AC7" s="142"/>
      <c r="AD7" s="142"/>
      <c r="AE7" s="142"/>
      <c r="AF7" s="142"/>
      <c r="AG7" s="142"/>
      <c r="AH7" s="142"/>
      <c r="AI7" s="142"/>
      <c r="AJ7" s="142"/>
      <c r="AK7" s="142"/>
      <c r="AL7" s="142"/>
      <c r="AM7" s="142"/>
      <c r="AN7" s="142"/>
      <c r="AO7" s="143">
        <f t="shared" si="2"/>
        <v>0</v>
      </c>
      <c r="AP7" s="144"/>
      <c r="AQ7" s="142"/>
      <c r="AR7" s="142"/>
      <c r="AS7" s="142"/>
      <c r="AT7" s="142"/>
      <c r="AU7" s="142"/>
      <c r="AV7" s="142"/>
      <c r="AW7" s="142"/>
      <c r="AX7" s="142"/>
      <c r="AY7" s="142"/>
      <c r="AZ7" s="142"/>
      <c r="BA7" s="142"/>
      <c r="BB7" s="142"/>
      <c r="BC7" s="143">
        <f t="shared" si="3"/>
        <v>0</v>
      </c>
      <c r="BD7" s="145">
        <f t="shared" si="4"/>
        <v>0</v>
      </c>
      <c r="BE7" s="135"/>
      <c r="BF7" s="146"/>
      <c r="BG7" s="146"/>
      <c r="BH7" s="146"/>
      <c r="BI7" s="147">
        <f t="shared" si="5"/>
        <v>0</v>
      </c>
      <c r="BJ7" s="146"/>
      <c r="BK7" s="148" t="str">
        <f t="shared" si="0"/>
        <v/>
      </c>
      <c r="BL7" s="148" t="str">
        <f t="shared" si="6"/>
        <v/>
      </c>
      <c r="BM7" s="148" t="str">
        <f t="shared" si="7"/>
        <v/>
      </c>
      <c r="BN7" s="149"/>
    </row>
    <row r="8" spans="1:66" s="52" customFormat="1" ht="28" customHeight="1" x14ac:dyDescent="0.35">
      <c r="A8" s="131" t="str">
        <f>IF(D8="","",Cover!$D$8)</f>
        <v/>
      </c>
      <c r="B8" s="131" t="str">
        <f>IF(D8="","",Cover!$D$7)</f>
        <v/>
      </c>
      <c r="C8" s="132" t="str">
        <f>IF(F8="","",IFERROR(VLOOKUP(F8,'Master Data'!$E$59:$J$144,6,FALSE),0))</f>
        <v/>
      </c>
      <c r="D8" s="133" t="str">
        <f>IF(F8="","",IFERROR(VLOOKUP(F8,'Master Data'!$E$59:$L$147,8,FALSE),0))</f>
        <v/>
      </c>
      <c r="E8" s="132" t="str">
        <f>IF(D8="","",IFERROR(VLOOKUP(D8,'Master Data'!$D$59:$I$147,6,FALSE),0))</f>
        <v/>
      </c>
      <c r="F8" s="134"/>
      <c r="G8" s="135"/>
      <c r="H8" s="136">
        <f>IFERROR(VLOOKUP(G8,'Master Data'!$C$336:$I$353,7,FALSE),0)</f>
        <v>0</v>
      </c>
      <c r="I8" s="137">
        <f>IFERROR(VLOOKUP(H8,'Master Data'!$B$336:$D$351,3,FALSE),0)</f>
        <v>0</v>
      </c>
      <c r="J8" s="138">
        <f>IFERROR(VLOOKUP(H8,'Master Data'!$B$336:$H$353,7,FALSE),0)</f>
        <v>0</v>
      </c>
      <c r="K8" s="139"/>
      <c r="L8" s="140" t="str">
        <f>IFERROR(IF(I8="FIXED ASSET",J8&amp;E8&amp;K8,VLOOKUP(F8,'Master Data'!$E$59:$H$144,4,FALSE)&amp;"-"&amp;J8&amp;"-"&amp;K8),"-")</f>
        <v>-</v>
      </c>
      <c r="M8" s="134"/>
      <c r="N8" s="141"/>
      <c r="O8" s="142"/>
      <c r="P8" s="142"/>
      <c r="Q8" s="142"/>
      <c r="R8" s="142"/>
      <c r="S8" s="142"/>
      <c r="T8" s="142"/>
      <c r="U8" s="142"/>
      <c r="V8" s="142"/>
      <c r="W8" s="142"/>
      <c r="X8" s="142"/>
      <c r="Y8" s="142"/>
      <c r="Z8" s="142"/>
      <c r="AA8" s="143">
        <f t="shared" si="1"/>
        <v>0</v>
      </c>
      <c r="AB8" s="144"/>
      <c r="AC8" s="142"/>
      <c r="AD8" s="142"/>
      <c r="AE8" s="142"/>
      <c r="AF8" s="142"/>
      <c r="AG8" s="142"/>
      <c r="AH8" s="142"/>
      <c r="AI8" s="142"/>
      <c r="AJ8" s="142"/>
      <c r="AK8" s="142"/>
      <c r="AL8" s="142"/>
      <c r="AM8" s="142"/>
      <c r="AN8" s="142"/>
      <c r="AO8" s="143">
        <f t="shared" si="2"/>
        <v>0</v>
      </c>
      <c r="AP8" s="144"/>
      <c r="AQ8" s="142"/>
      <c r="AR8" s="142"/>
      <c r="AS8" s="142"/>
      <c r="AT8" s="142"/>
      <c r="AU8" s="142"/>
      <c r="AV8" s="142"/>
      <c r="AW8" s="142"/>
      <c r="AX8" s="142"/>
      <c r="AY8" s="142"/>
      <c r="AZ8" s="142"/>
      <c r="BA8" s="142"/>
      <c r="BB8" s="142"/>
      <c r="BC8" s="143">
        <f t="shared" si="3"/>
        <v>0</v>
      </c>
      <c r="BD8" s="145">
        <f t="shared" si="4"/>
        <v>0</v>
      </c>
      <c r="BE8" s="135"/>
      <c r="BF8" s="146"/>
      <c r="BG8" s="146"/>
      <c r="BH8" s="146"/>
      <c r="BI8" s="147">
        <f t="shared" si="5"/>
        <v>0</v>
      </c>
      <c r="BJ8" s="146"/>
      <c r="BK8" s="148" t="str">
        <f t="shared" si="0"/>
        <v/>
      </c>
      <c r="BL8" s="148" t="str">
        <f t="shared" si="6"/>
        <v/>
      </c>
      <c r="BM8" s="148" t="str">
        <f t="shared" si="7"/>
        <v/>
      </c>
      <c r="BN8" s="149"/>
    </row>
    <row r="9" spans="1:66" s="52" customFormat="1" ht="28" customHeight="1" x14ac:dyDescent="0.35">
      <c r="A9" s="131" t="str">
        <f>IF(D9="","",Cover!$D$8)</f>
        <v/>
      </c>
      <c r="B9" s="131" t="str">
        <f>IF(D9="","",Cover!$D$7)</f>
        <v/>
      </c>
      <c r="C9" s="132" t="str">
        <f>IF(F9="","",IFERROR(VLOOKUP(F9,'Master Data'!$E$59:$J$144,6,FALSE),0))</f>
        <v/>
      </c>
      <c r="D9" s="133" t="str">
        <f>IF(F9="","",IFERROR(VLOOKUP(F9,'Master Data'!$E$59:$L$147,8,FALSE),0))</f>
        <v/>
      </c>
      <c r="E9" s="132" t="str">
        <f>IF(D9="","",IFERROR(VLOOKUP(D9,'Master Data'!$D$59:$I$147,6,FALSE),0))</f>
        <v/>
      </c>
      <c r="F9" s="134"/>
      <c r="G9" s="135"/>
      <c r="H9" s="136">
        <f>IFERROR(VLOOKUP(G9,'Master Data'!$C$336:$I$353,7,FALSE),0)</f>
        <v>0</v>
      </c>
      <c r="I9" s="137">
        <f>IFERROR(VLOOKUP(H9,'Master Data'!$B$336:$D$351,3,FALSE),0)</f>
        <v>0</v>
      </c>
      <c r="J9" s="138">
        <f>IFERROR(VLOOKUP(H9,'Master Data'!$B$336:$H$353,7,FALSE),0)</f>
        <v>0</v>
      </c>
      <c r="K9" s="139"/>
      <c r="L9" s="140" t="str">
        <f>IFERROR(IF(I9="FIXED ASSET",J9&amp;E9&amp;K9,VLOOKUP(F9,'Master Data'!$E$59:$H$144,4,FALSE)&amp;"-"&amp;J9&amp;"-"&amp;K9),"-")</f>
        <v>-</v>
      </c>
      <c r="M9" s="134"/>
      <c r="N9" s="141"/>
      <c r="O9" s="142"/>
      <c r="P9" s="142"/>
      <c r="Q9" s="142"/>
      <c r="R9" s="142"/>
      <c r="S9" s="142"/>
      <c r="T9" s="142"/>
      <c r="U9" s="142"/>
      <c r="V9" s="142"/>
      <c r="W9" s="142"/>
      <c r="X9" s="142"/>
      <c r="Y9" s="142"/>
      <c r="Z9" s="142"/>
      <c r="AA9" s="143">
        <f t="shared" si="1"/>
        <v>0</v>
      </c>
      <c r="AB9" s="144"/>
      <c r="AC9" s="142"/>
      <c r="AD9" s="142"/>
      <c r="AE9" s="142"/>
      <c r="AF9" s="142"/>
      <c r="AG9" s="142"/>
      <c r="AH9" s="142"/>
      <c r="AI9" s="142"/>
      <c r="AJ9" s="142"/>
      <c r="AK9" s="142"/>
      <c r="AL9" s="142"/>
      <c r="AM9" s="142"/>
      <c r="AN9" s="142"/>
      <c r="AO9" s="143">
        <f t="shared" si="2"/>
        <v>0</v>
      </c>
      <c r="AP9" s="144"/>
      <c r="AQ9" s="142"/>
      <c r="AR9" s="142"/>
      <c r="AS9" s="142"/>
      <c r="AT9" s="142"/>
      <c r="AU9" s="142"/>
      <c r="AV9" s="142"/>
      <c r="AW9" s="142"/>
      <c r="AX9" s="142"/>
      <c r="AY9" s="142"/>
      <c r="AZ9" s="142"/>
      <c r="BA9" s="142"/>
      <c r="BB9" s="142"/>
      <c r="BC9" s="143">
        <f t="shared" si="3"/>
        <v>0</v>
      </c>
      <c r="BD9" s="145">
        <f t="shared" si="4"/>
        <v>0</v>
      </c>
      <c r="BE9" s="135"/>
      <c r="BF9" s="146"/>
      <c r="BG9" s="146"/>
      <c r="BH9" s="146"/>
      <c r="BI9" s="147">
        <f t="shared" si="5"/>
        <v>0</v>
      </c>
      <c r="BJ9" s="146"/>
      <c r="BK9" s="148" t="str">
        <f t="shared" si="0"/>
        <v/>
      </c>
      <c r="BL9" s="148" t="str">
        <f t="shared" si="6"/>
        <v/>
      </c>
      <c r="BM9" s="148" t="str">
        <f t="shared" si="7"/>
        <v/>
      </c>
      <c r="BN9" s="149"/>
    </row>
    <row r="10" spans="1:66" s="52" customFormat="1" ht="28" customHeight="1" x14ac:dyDescent="0.35">
      <c r="A10" s="131" t="str">
        <f>IF(D10="","",Cover!$D$8)</f>
        <v/>
      </c>
      <c r="B10" s="131" t="str">
        <f>IF(D10="","",Cover!$D$7)</f>
        <v/>
      </c>
      <c r="C10" s="132" t="str">
        <f>IF(F10="","",IFERROR(VLOOKUP(F10,'Master Data'!$E$59:$J$144,6,FALSE),0))</f>
        <v/>
      </c>
      <c r="D10" s="133" t="str">
        <f>IF(F10="","",IFERROR(VLOOKUP(F10,'Master Data'!$E$59:$L$147,8,FALSE),0))</f>
        <v/>
      </c>
      <c r="E10" s="132" t="str">
        <f>IF(D10="","",IFERROR(VLOOKUP(D10,'Master Data'!$D$59:$I$147,6,FALSE),0))</f>
        <v/>
      </c>
      <c r="F10" s="134"/>
      <c r="G10" s="135"/>
      <c r="H10" s="136">
        <f>IFERROR(VLOOKUP(G10,'Master Data'!$C$336:$I$353,7,FALSE),0)</f>
        <v>0</v>
      </c>
      <c r="I10" s="137">
        <f>IFERROR(VLOOKUP(H10,'Master Data'!$B$336:$D$351,3,FALSE),0)</f>
        <v>0</v>
      </c>
      <c r="J10" s="138">
        <f>IFERROR(VLOOKUP(H10,'Master Data'!$B$336:$H$353,7,FALSE),0)</f>
        <v>0</v>
      </c>
      <c r="K10" s="139"/>
      <c r="L10" s="140" t="str">
        <f>IFERROR(IF(I10="FIXED ASSET",J10&amp;E10&amp;K10,VLOOKUP(F10,'Master Data'!$E$59:$H$144,4,FALSE)&amp;"-"&amp;J10&amp;"-"&amp;K10),"-")</f>
        <v>-</v>
      </c>
      <c r="M10" s="134"/>
      <c r="N10" s="141"/>
      <c r="O10" s="142"/>
      <c r="P10" s="142"/>
      <c r="Q10" s="142"/>
      <c r="R10" s="142"/>
      <c r="S10" s="142"/>
      <c r="T10" s="142"/>
      <c r="U10" s="142"/>
      <c r="V10" s="142"/>
      <c r="W10" s="142"/>
      <c r="X10" s="142"/>
      <c r="Y10" s="142"/>
      <c r="Z10" s="142"/>
      <c r="AA10" s="143">
        <f t="shared" si="1"/>
        <v>0</v>
      </c>
      <c r="AB10" s="144"/>
      <c r="AC10" s="142"/>
      <c r="AD10" s="142"/>
      <c r="AE10" s="142"/>
      <c r="AF10" s="142"/>
      <c r="AG10" s="142"/>
      <c r="AH10" s="142"/>
      <c r="AI10" s="142"/>
      <c r="AJ10" s="142"/>
      <c r="AK10" s="142"/>
      <c r="AL10" s="142"/>
      <c r="AM10" s="142"/>
      <c r="AN10" s="142"/>
      <c r="AO10" s="143">
        <f t="shared" si="2"/>
        <v>0</v>
      </c>
      <c r="AP10" s="144"/>
      <c r="AQ10" s="142"/>
      <c r="AR10" s="142"/>
      <c r="AS10" s="142"/>
      <c r="AT10" s="142"/>
      <c r="AU10" s="142"/>
      <c r="AV10" s="142"/>
      <c r="AW10" s="142"/>
      <c r="AX10" s="142"/>
      <c r="AY10" s="142"/>
      <c r="AZ10" s="142"/>
      <c r="BA10" s="142"/>
      <c r="BB10" s="142"/>
      <c r="BC10" s="143">
        <f t="shared" si="3"/>
        <v>0</v>
      </c>
      <c r="BD10" s="145">
        <f t="shared" si="4"/>
        <v>0</v>
      </c>
      <c r="BE10" s="135"/>
      <c r="BF10" s="146"/>
      <c r="BG10" s="146"/>
      <c r="BH10" s="146"/>
      <c r="BI10" s="147">
        <f t="shared" si="5"/>
        <v>0</v>
      </c>
      <c r="BJ10" s="146"/>
      <c r="BK10" s="148" t="str">
        <f t="shared" si="0"/>
        <v/>
      </c>
      <c r="BL10" s="148" t="str">
        <f t="shared" si="6"/>
        <v/>
      </c>
      <c r="BM10" s="148" t="str">
        <f t="shared" si="7"/>
        <v/>
      </c>
      <c r="BN10" s="149"/>
    </row>
    <row r="11" spans="1:66" s="52" customFormat="1" ht="28" customHeight="1" x14ac:dyDescent="0.35">
      <c r="A11" s="131" t="str">
        <f>IF(D11="","",Cover!$D$8)</f>
        <v/>
      </c>
      <c r="B11" s="131" t="str">
        <f>IF(D11="","",Cover!$D$7)</f>
        <v/>
      </c>
      <c r="C11" s="132" t="str">
        <f>IF(F11="","",IFERROR(VLOOKUP(F11,'Master Data'!$E$59:$J$144,6,FALSE),0))</f>
        <v/>
      </c>
      <c r="D11" s="133" t="str">
        <f>IF(F11="","",IFERROR(VLOOKUP(F11,'Master Data'!$E$59:$L$147,8,FALSE),0))</f>
        <v/>
      </c>
      <c r="E11" s="132" t="str">
        <f>IF(D11="","",IFERROR(VLOOKUP(D11,'Master Data'!$D$59:$I$147,6,FALSE),0))</f>
        <v/>
      </c>
      <c r="F11" s="134"/>
      <c r="G11" s="135"/>
      <c r="H11" s="136">
        <f>IFERROR(VLOOKUP(G11,'Master Data'!$C$336:$I$353,7,FALSE),0)</f>
        <v>0</v>
      </c>
      <c r="I11" s="137">
        <f>IFERROR(VLOOKUP(H11,'Master Data'!$B$336:$D$351,3,FALSE),0)</f>
        <v>0</v>
      </c>
      <c r="J11" s="138">
        <f>IFERROR(VLOOKUP(H11,'Master Data'!$B$336:$H$353,7,FALSE),0)</f>
        <v>0</v>
      </c>
      <c r="K11" s="139"/>
      <c r="L11" s="140" t="str">
        <f>IFERROR(IF(I11="FIXED ASSET",J11&amp;E11&amp;K11,VLOOKUP(F11,'Master Data'!$E$59:$H$144,4,FALSE)&amp;"-"&amp;J11&amp;"-"&amp;K11),"-")</f>
        <v>-</v>
      </c>
      <c r="M11" s="134"/>
      <c r="N11" s="141"/>
      <c r="O11" s="142"/>
      <c r="P11" s="142"/>
      <c r="Q11" s="142"/>
      <c r="R11" s="142"/>
      <c r="S11" s="142"/>
      <c r="T11" s="142"/>
      <c r="U11" s="142"/>
      <c r="V11" s="142"/>
      <c r="W11" s="142"/>
      <c r="X11" s="142"/>
      <c r="Y11" s="142"/>
      <c r="Z11" s="142"/>
      <c r="AA11" s="143">
        <f t="shared" si="1"/>
        <v>0</v>
      </c>
      <c r="AB11" s="144"/>
      <c r="AC11" s="142"/>
      <c r="AD11" s="142"/>
      <c r="AE11" s="142"/>
      <c r="AF11" s="142"/>
      <c r="AG11" s="142"/>
      <c r="AH11" s="142"/>
      <c r="AI11" s="142"/>
      <c r="AJ11" s="142"/>
      <c r="AK11" s="142"/>
      <c r="AL11" s="142"/>
      <c r="AM11" s="142"/>
      <c r="AN11" s="142"/>
      <c r="AO11" s="143">
        <f t="shared" si="2"/>
        <v>0</v>
      </c>
      <c r="AP11" s="144"/>
      <c r="AQ11" s="142"/>
      <c r="AR11" s="142"/>
      <c r="AS11" s="142"/>
      <c r="AT11" s="142"/>
      <c r="AU11" s="142"/>
      <c r="AV11" s="142"/>
      <c r="AW11" s="142"/>
      <c r="AX11" s="142"/>
      <c r="AY11" s="142"/>
      <c r="AZ11" s="142"/>
      <c r="BA11" s="142"/>
      <c r="BB11" s="142"/>
      <c r="BC11" s="143">
        <f t="shared" si="3"/>
        <v>0</v>
      </c>
      <c r="BD11" s="145">
        <f t="shared" si="4"/>
        <v>0</v>
      </c>
      <c r="BE11" s="135"/>
      <c r="BF11" s="146"/>
      <c r="BG11" s="146"/>
      <c r="BH11" s="146"/>
      <c r="BI11" s="147">
        <f t="shared" si="5"/>
        <v>0</v>
      </c>
      <c r="BJ11" s="146"/>
      <c r="BK11" s="148" t="str">
        <f t="shared" si="0"/>
        <v/>
      </c>
      <c r="BL11" s="148" t="str">
        <f t="shared" si="6"/>
        <v/>
      </c>
      <c r="BM11" s="148" t="str">
        <f t="shared" si="7"/>
        <v/>
      </c>
      <c r="BN11" s="149"/>
    </row>
    <row r="12" spans="1:66" s="52" customFormat="1" ht="28" customHeight="1" x14ac:dyDescent="0.35">
      <c r="A12" s="131" t="str">
        <f>IF(D12="","",Cover!$D$8)</f>
        <v/>
      </c>
      <c r="B12" s="131" t="str">
        <f>IF(D12="","",Cover!$D$7)</f>
        <v/>
      </c>
      <c r="C12" s="132" t="str">
        <f>IF(F12="","",IFERROR(VLOOKUP(F12,'Master Data'!$E$59:$J$144,6,FALSE),0))</f>
        <v/>
      </c>
      <c r="D12" s="133" t="str">
        <f>IF(F12="","",IFERROR(VLOOKUP(F12,'Master Data'!$E$59:$L$147,8,FALSE),0))</f>
        <v/>
      </c>
      <c r="E12" s="132" t="str">
        <f>IF(D12="","",IFERROR(VLOOKUP(D12,'Master Data'!$D$59:$I$147,6,FALSE),0))</f>
        <v/>
      </c>
      <c r="F12" s="134"/>
      <c r="G12" s="135"/>
      <c r="H12" s="136">
        <f>IFERROR(VLOOKUP(G12,'Master Data'!$C$336:$I$353,7,FALSE),0)</f>
        <v>0</v>
      </c>
      <c r="I12" s="137">
        <f>IFERROR(VLOOKUP(H12,'Master Data'!$B$336:$D$351,3,FALSE),0)</f>
        <v>0</v>
      </c>
      <c r="J12" s="138">
        <f>IFERROR(VLOOKUP(H12,'Master Data'!$B$336:$H$353,7,FALSE),0)</f>
        <v>0</v>
      </c>
      <c r="K12" s="139"/>
      <c r="L12" s="140" t="str">
        <f>IFERROR(IF(I12="FIXED ASSET",J12&amp;E12&amp;K12,VLOOKUP(F12,'Master Data'!$E$59:$H$144,4,FALSE)&amp;"-"&amp;J12&amp;"-"&amp;K12),"-")</f>
        <v>-</v>
      </c>
      <c r="M12" s="134"/>
      <c r="N12" s="141"/>
      <c r="O12" s="142"/>
      <c r="P12" s="142"/>
      <c r="Q12" s="142"/>
      <c r="R12" s="142"/>
      <c r="S12" s="142"/>
      <c r="T12" s="142"/>
      <c r="U12" s="142"/>
      <c r="V12" s="142"/>
      <c r="W12" s="142"/>
      <c r="X12" s="142"/>
      <c r="Y12" s="142"/>
      <c r="Z12" s="142"/>
      <c r="AA12" s="143">
        <f t="shared" si="1"/>
        <v>0</v>
      </c>
      <c r="AB12" s="144"/>
      <c r="AC12" s="142"/>
      <c r="AD12" s="142"/>
      <c r="AE12" s="142"/>
      <c r="AF12" s="142"/>
      <c r="AG12" s="142"/>
      <c r="AH12" s="142"/>
      <c r="AI12" s="142"/>
      <c r="AJ12" s="142"/>
      <c r="AK12" s="142"/>
      <c r="AL12" s="142"/>
      <c r="AM12" s="142"/>
      <c r="AN12" s="142"/>
      <c r="AO12" s="143">
        <f t="shared" si="2"/>
        <v>0</v>
      </c>
      <c r="AP12" s="144"/>
      <c r="AQ12" s="142"/>
      <c r="AR12" s="142"/>
      <c r="AS12" s="142"/>
      <c r="AT12" s="142"/>
      <c r="AU12" s="142"/>
      <c r="AV12" s="142"/>
      <c r="AW12" s="142"/>
      <c r="AX12" s="142"/>
      <c r="AY12" s="142"/>
      <c r="AZ12" s="142"/>
      <c r="BA12" s="142"/>
      <c r="BB12" s="142"/>
      <c r="BC12" s="143">
        <f t="shared" si="3"/>
        <v>0</v>
      </c>
      <c r="BD12" s="145">
        <f t="shared" si="4"/>
        <v>0</v>
      </c>
      <c r="BE12" s="135"/>
      <c r="BF12" s="146"/>
      <c r="BG12" s="146"/>
      <c r="BH12" s="146"/>
      <c r="BI12" s="147">
        <f t="shared" si="5"/>
        <v>0</v>
      </c>
      <c r="BJ12" s="146"/>
      <c r="BK12" s="148" t="str">
        <f t="shared" si="0"/>
        <v/>
      </c>
      <c r="BL12" s="148" t="str">
        <f t="shared" si="6"/>
        <v/>
      </c>
      <c r="BM12" s="148" t="str">
        <f t="shared" si="7"/>
        <v/>
      </c>
      <c r="BN12" s="149"/>
    </row>
    <row r="13" spans="1:66" s="52" customFormat="1" ht="28" customHeight="1" x14ac:dyDescent="0.35">
      <c r="A13" s="131" t="str">
        <f>IF(D13="","",Cover!$D$8)</f>
        <v/>
      </c>
      <c r="B13" s="131" t="str">
        <f>IF(D13="","",Cover!$D$7)</f>
        <v/>
      </c>
      <c r="C13" s="132" t="str">
        <f>IF(F13="","",IFERROR(VLOOKUP(F13,'Master Data'!$E$59:$J$144,6,FALSE),0))</f>
        <v/>
      </c>
      <c r="D13" s="133" t="str">
        <f>IF(F13="","",IFERROR(VLOOKUP(F13,'Master Data'!$E$59:$L$147,8,FALSE),0))</f>
        <v/>
      </c>
      <c r="E13" s="132" t="str">
        <f>IF(D13="","",IFERROR(VLOOKUP(D13,'Master Data'!$D$59:$I$147,6,FALSE),0))</f>
        <v/>
      </c>
      <c r="F13" s="134"/>
      <c r="G13" s="135"/>
      <c r="H13" s="136">
        <f>IFERROR(VLOOKUP(G13,'Master Data'!$C$336:$I$353,7,FALSE),0)</f>
        <v>0</v>
      </c>
      <c r="I13" s="137">
        <f>IFERROR(VLOOKUP(H13,'Master Data'!$B$336:$D$351,3,FALSE),0)</f>
        <v>0</v>
      </c>
      <c r="J13" s="138">
        <f>IFERROR(VLOOKUP(H13,'Master Data'!$B$336:$H$353,7,FALSE),0)</f>
        <v>0</v>
      </c>
      <c r="K13" s="139"/>
      <c r="L13" s="140" t="str">
        <f>IFERROR(IF(I13="FIXED ASSET",J13&amp;E13&amp;K13,VLOOKUP(F13,'Master Data'!$E$59:$H$144,4,FALSE)&amp;"-"&amp;J13&amp;"-"&amp;K13),"-")</f>
        <v>-</v>
      </c>
      <c r="M13" s="134"/>
      <c r="N13" s="141"/>
      <c r="O13" s="142"/>
      <c r="P13" s="142"/>
      <c r="Q13" s="142"/>
      <c r="R13" s="142"/>
      <c r="S13" s="142"/>
      <c r="T13" s="142"/>
      <c r="U13" s="142"/>
      <c r="V13" s="142"/>
      <c r="W13" s="142"/>
      <c r="X13" s="142"/>
      <c r="Y13" s="142"/>
      <c r="Z13" s="142"/>
      <c r="AA13" s="143">
        <f t="shared" si="1"/>
        <v>0</v>
      </c>
      <c r="AB13" s="144"/>
      <c r="AC13" s="142"/>
      <c r="AD13" s="142"/>
      <c r="AE13" s="142"/>
      <c r="AF13" s="142"/>
      <c r="AG13" s="142"/>
      <c r="AH13" s="142"/>
      <c r="AI13" s="142"/>
      <c r="AJ13" s="142"/>
      <c r="AK13" s="142"/>
      <c r="AL13" s="142"/>
      <c r="AM13" s="142"/>
      <c r="AN13" s="142"/>
      <c r="AO13" s="143">
        <f t="shared" si="2"/>
        <v>0</v>
      </c>
      <c r="AP13" s="144"/>
      <c r="AQ13" s="142"/>
      <c r="AR13" s="142"/>
      <c r="AS13" s="142"/>
      <c r="AT13" s="142"/>
      <c r="AU13" s="142"/>
      <c r="AV13" s="142"/>
      <c r="AW13" s="142"/>
      <c r="AX13" s="142"/>
      <c r="AY13" s="142"/>
      <c r="AZ13" s="142"/>
      <c r="BA13" s="142"/>
      <c r="BB13" s="142"/>
      <c r="BC13" s="143">
        <f t="shared" si="3"/>
        <v>0</v>
      </c>
      <c r="BD13" s="145">
        <f t="shared" si="4"/>
        <v>0</v>
      </c>
      <c r="BE13" s="135"/>
      <c r="BF13" s="146"/>
      <c r="BG13" s="146"/>
      <c r="BH13" s="146"/>
      <c r="BI13" s="147">
        <f t="shared" si="5"/>
        <v>0</v>
      </c>
      <c r="BJ13" s="146"/>
      <c r="BK13" s="148" t="str">
        <f t="shared" si="0"/>
        <v/>
      </c>
      <c r="BL13" s="148" t="str">
        <f t="shared" si="6"/>
        <v/>
      </c>
      <c r="BM13" s="148" t="str">
        <f t="shared" si="7"/>
        <v/>
      </c>
      <c r="BN13" s="149"/>
    </row>
    <row r="14" spans="1:66" s="52" customFormat="1" ht="28" customHeight="1" x14ac:dyDescent="0.35">
      <c r="A14" s="131" t="str">
        <f>IF(D14="","",Cover!$D$8)</f>
        <v/>
      </c>
      <c r="B14" s="131" t="str">
        <f>IF(D14="","",Cover!$D$7)</f>
        <v/>
      </c>
      <c r="C14" s="132" t="str">
        <f>IF(F14="","",IFERROR(VLOOKUP(F14,'Master Data'!$E$59:$J$144,6,FALSE),0))</f>
        <v/>
      </c>
      <c r="D14" s="133" t="str">
        <f>IF(F14="","",IFERROR(VLOOKUP(F14,'Master Data'!$E$59:$L$147,8,FALSE),0))</f>
        <v/>
      </c>
      <c r="E14" s="132" t="str">
        <f>IF(D14="","",IFERROR(VLOOKUP(D14,'Master Data'!$D$59:$I$147,6,FALSE),0))</f>
        <v/>
      </c>
      <c r="F14" s="134"/>
      <c r="G14" s="135"/>
      <c r="H14" s="136">
        <f>IFERROR(VLOOKUP(G14,'Master Data'!$C$336:$I$353,7,FALSE),0)</f>
        <v>0</v>
      </c>
      <c r="I14" s="137">
        <f>IFERROR(VLOOKUP(H14,'Master Data'!$B$336:$D$351,3,FALSE),0)</f>
        <v>0</v>
      </c>
      <c r="J14" s="138">
        <f>IFERROR(VLOOKUP(H14,'Master Data'!$B$336:$H$353,7,FALSE),0)</f>
        <v>0</v>
      </c>
      <c r="K14" s="139"/>
      <c r="L14" s="140" t="str">
        <f>IFERROR(IF(I14="FIXED ASSET",J14&amp;E14&amp;K14,VLOOKUP(F14,'Master Data'!$E$59:$H$144,4,FALSE)&amp;"-"&amp;J14&amp;"-"&amp;K14),"-")</f>
        <v>-</v>
      </c>
      <c r="M14" s="134"/>
      <c r="N14" s="141"/>
      <c r="O14" s="142"/>
      <c r="P14" s="142"/>
      <c r="Q14" s="142"/>
      <c r="R14" s="142"/>
      <c r="S14" s="142"/>
      <c r="T14" s="142"/>
      <c r="U14" s="142"/>
      <c r="V14" s="142"/>
      <c r="W14" s="142"/>
      <c r="X14" s="142"/>
      <c r="Y14" s="142"/>
      <c r="Z14" s="142"/>
      <c r="AA14" s="143">
        <f t="shared" si="1"/>
        <v>0</v>
      </c>
      <c r="AB14" s="144"/>
      <c r="AC14" s="142"/>
      <c r="AD14" s="142"/>
      <c r="AE14" s="142"/>
      <c r="AF14" s="142"/>
      <c r="AG14" s="142"/>
      <c r="AH14" s="142"/>
      <c r="AI14" s="142"/>
      <c r="AJ14" s="142"/>
      <c r="AK14" s="142"/>
      <c r="AL14" s="142"/>
      <c r="AM14" s="142"/>
      <c r="AN14" s="142"/>
      <c r="AO14" s="143">
        <f t="shared" si="2"/>
        <v>0</v>
      </c>
      <c r="AP14" s="144"/>
      <c r="AQ14" s="142"/>
      <c r="AR14" s="142"/>
      <c r="AS14" s="142"/>
      <c r="AT14" s="142"/>
      <c r="AU14" s="142"/>
      <c r="AV14" s="142"/>
      <c r="AW14" s="142"/>
      <c r="AX14" s="142"/>
      <c r="AY14" s="142"/>
      <c r="AZ14" s="142"/>
      <c r="BA14" s="142"/>
      <c r="BB14" s="142"/>
      <c r="BC14" s="143">
        <f t="shared" si="3"/>
        <v>0</v>
      </c>
      <c r="BD14" s="145">
        <f t="shared" si="4"/>
        <v>0</v>
      </c>
      <c r="BE14" s="135"/>
      <c r="BF14" s="146"/>
      <c r="BG14" s="146"/>
      <c r="BH14" s="146"/>
      <c r="BI14" s="147">
        <f t="shared" si="5"/>
        <v>0</v>
      </c>
      <c r="BJ14" s="146"/>
      <c r="BK14" s="148" t="str">
        <f t="shared" si="0"/>
        <v/>
      </c>
      <c r="BL14" s="148" t="str">
        <f t="shared" si="6"/>
        <v/>
      </c>
      <c r="BM14" s="148" t="str">
        <f t="shared" si="7"/>
        <v/>
      </c>
      <c r="BN14" s="149"/>
    </row>
    <row r="15" spans="1:66" s="52" customFormat="1" ht="28" customHeight="1" x14ac:dyDescent="0.35">
      <c r="A15" s="131" t="str">
        <f>IF(D15="","",Cover!$D$8)</f>
        <v/>
      </c>
      <c r="B15" s="131" t="str">
        <f>IF(D15="","",Cover!$D$7)</f>
        <v/>
      </c>
      <c r="C15" s="132" t="str">
        <f>IF(F15="","",IFERROR(VLOOKUP(F15,'Master Data'!$E$59:$J$144,6,FALSE),0))</f>
        <v/>
      </c>
      <c r="D15" s="133" t="str">
        <f>IF(F15="","",IFERROR(VLOOKUP(F15,'Master Data'!$E$59:$L$147,8,FALSE),0))</f>
        <v/>
      </c>
      <c r="E15" s="132" t="str">
        <f>IF(D15="","",IFERROR(VLOOKUP(D15,'Master Data'!$D$59:$I$147,6,FALSE),0))</f>
        <v/>
      </c>
      <c r="F15" s="134"/>
      <c r="G15" s="135"/>
      <c r="H15" s="136">
        <f>IFERROR(VLOOKUP(G15,'Master Data'!$C$336:$I$353,7,FALSE),0)</f>
        <v>0</v>
      </c>
      <c r="I15" s="137">
        <f>IFERROR(VLOOKUP(H15,'Master Data'!$B$336:$D$351,3,FALSE),0)</f>
        <v>0</v>
      </c>
      <c r="J15" s="138">
        <f>IFERROR(VLOOKUP(H15,'Master Data'!$B$336:$H$353,7,FALSE),0)</f>
        <v>0</v>
      </c>
      <c r="K15" s="139"/>
      <c r="L15" s="140" t="str">
        <f>IFERROR(IF(I15="FIXED ASSET",J15&amp;E15&amp;K15,VLOOKUP(F15,'Master Data'!$E$59:$H$144,4,FALSE)&amp;"-"&amp;J15&amp;"-"&amp;K15),"-")</f>
        <v>-</v>
      </c>
      <c r="M15" s="134"/>
      <c r="N15" s="141"/>
      <c r="O15" s="142"/>
      <c r="P15" s="142"/>
      <c r="Q15" s="142"/>
      <c r="R15" s="142"/>
      <c r="S15" s="142"/>
      <c r="T15" s="142"/>
      <c r="U15" s="142"/>
      <c r="V15" s="142"/>
      <c r="W15" s="142"/>
      <c r="X15" s="142"/>
      <c r="Y15" s="142"/>
      <c r="Z15" s="142"/>
      <c r="AA15" s="143">
        <f t="shared" si="1"/>
        <v>0</v>
      </c>
      <c r="AB15" s="144"/>
      <c r="AC15" s="142"/>
      <c r="AD15" s="142"/>
      <c r="AE15" s="142"/>
      <c r="AF15" s="142"/>
      <c r="AG15" s="142"/>
      <c r="AH15" s="142"/>
      <c r="AI15" s="142"/>
      <c r="AJ15" s="142"/>
      <c r="AK15" s="142"/>
      <c r="AL15" s="142"/>
      <c r="AM15" s="142"/>
      <c r="AN15" s="142"/>
      <c r="AO15" s="143">
        <f t="shared" si="2"/>
        <v>0</v>
      </c>
      <c r="AP15" s="144"/>
      <c r="AQ15" s="142"/>
      <c r="AR15" s="142"/>
      <c r="AS15" s="142"/>
      <c r="AT15" s="142"/>
      <c r="AU15" s="142"/>
      <c r="AV15" s="142"/>
      <c r="AW15" s="142"/>
      <c r="AX15" s="142"/>
      <c r="AY15" s="142"/>
      <c r="AZ15" s="142"/>
      <c r="BA15" s="142"/>
      <c r="BB15" s="142"/>
      <c r="BC15" s="143">
        <f t="shared" si="3"/>
        <v>0</v>
      </c>
      <c r="BD15" s="145">
        <f t="shared" si="4"/>
        <v>0</v>
      </c>
      <c r="BE15" s="135"/>
      <c r="BF15" s="146"/>
      <c r="BG15" s="146"/>
      <c r="BH15" s="146"/>
      <c r="BI15" s="147">
        <f t="shared" si="5"/>
        <v>0</v>
      </c>
      <c r="BJ15" s="146"/>
      <c r="BK15" s="148" t="str">
        <f t="shared" si="0"/>
        <v/>
      </c>
      <c r="BL15" s="148" t="str">
        <f t="shared" si="6"/>
        <v/>
      </c>
      <c r="BM15" s="148" t="str">
        <f t="shared" si="7"/>
        <v/>
      </c>
      <c r="BN15" s="149"/>
    </row>
    <row r="16" spans="1:66" s="52" customFormat="1" ht="28" customHeight="1" x14ac:dyDescent="0.35">
      <c r="A16" s="131" t="str">
        <f>IF(D16="","",Cover!$D$8)</f>
        <v/>
      </c>
      <c r="B16" s="131" t="str">
        <f>IF(D16="","",Cover!$D$7)</f>
        <v/>
      </c>
      <c r="C16" s="132" t="str">
        <f>IF(F16="","",IFERROR(VLOOKUP(F16,'Master Data'!$E$59:$J$144,6,FALSE),0))</f>
        <v/>
      </c>
      <c r="D16" s="133" t="str">
        <f>IF(F16="","",IFERROR(VLOOKUP(F16,'Master Data'!$E$59:$L$147,8,FALSE),0))</f>
        <v/>
      </c>
      <c r="E16" s="132" t="str">
        <f>IF(D16="","",IFERROR(VLOOKUP(D16,'Master Data'!$D$59:$I$147,6,FALSE),0))</f>
        <v/>
      </c>
      <c r="F16" s="134"/>
      <c r="G16" s="135"/>
      <c r="H16" s="136">
        <f>IFERROR(VLOOKUP(G16,'Master Data'!$C$336:$I$353,7,FALSE),0)</f>
        <v>0</v>
      </c>
      <c r="I16" s="137">
        <f>IFERROR(VLOOKUP(H16,'Master Data'!$B$336:$D$351,3,FALSE),0)</f>
        <v>0</v>
      </c>
      <c r="J16" s="138">
        <f>IFERROR(VLOOKUP(H16,'Master Data'!$B$336:$H$353,7,FALSE),0)</f>
        <v>0</v>
      </c>
      <c r="K16" s="139"/>
      <c r="L16" s="140" t="str">
        <f>IFERROR(IF(I16="FIXED ASSET",J16&amp;E16&amp;K16,VLOOKUP(F16,'Master Data'!$E$59:$H$144,4,FALSE)&amp;"-"&amp;J16&amp;"-"&amp;K16),"-")</f>
        <v>-</v>
      </c>
      <c r="M16" s="134"/>
      <c r="N16" s="141"/>
      <c r="O16" s="142"/>
      <c r="P16" s="142"/>
      <c r="Q16" s="142"/>
      <c r="R16" s="142"/>
      <c r="S16" s="142"/>
      <c r="T16" s="142"/>
      <c r="U16" s="142"/>
      <c r="V16" s="142"/>
      <c r="W16" s="142"/>
      <c r="X16" s="142"/>
      <c r="Y16" s="142"/>
      <c r="Z16" s="142"/>
      <c r="AA16" s="143">
        <f t="shared" si="1"/>
        <v>0</v>
      </c>
      <c r="AB16" s="144"/>
      <c r="AC16" s="142"/>
      <c r="AD16" s="142"/>
      <c r="AE16" s="142"/>
      <c r="AF16" s="142"/>
      <c r="AG16" s="142"/>
      <c r="AH16" s="142"/>
      <c r="AI16" s="142"/>
      <c r="AJ16" s="142"/>
      <c r="AK16" s="142"/>
      <c r="AL16" s="142"/>
      <c r="AM16" s="142"/>
      <c r="AN16" s="142"/>
      <c r="AO16" s="143">
        <f t="shared" si="2"/>
        <v>0</v>
      </c>
      <c r="AP16" s="144"/>
      <c r="AQ16" s="142"/>
      <c r="AR16" s="142"/>
      <c r="AS16" s="142"/>
      <c r="AT16" s="142"/>
      <c r="AU16" s="142"/>
      <c r="AV16" s="142"/>
      <c r="AW16" s="142"/>
      <c r="AX16" s="142"/>
      <c r="AY16" s="142"/>
      <c r="AZ16" s="142"/>
      <c r="BA16" s="142"/>
      <c r="BB16" s="142"/>
      <c r="BC16" s="143">
        <f t="shared" si="3"/>
        <v>0</v>
      </c>
      <c r="BD16" s="145">
        <f t="shared" si="4"/>
        <v>0</v>
      </c>
      <c r="BE16" s="135"/>
      <c r="BF16" s="146"/>
      <c r="BG16" s="146"/>
      <c r="BH16" s="146"/>
      <c r="BI16" s="147">
        <f t="shared" si="5"/>
        <v>0</v>
      </c>
      <c r="BJ16" s="146"/>
      <c r="BK16" s="148" t="str">
        <f t="shared" si="0"/>
        <v/>
      </c>
      <c r="BL16" s="148" t="str">
        <f t="shared" si="6"/>
        <v/>
      </c>
      <c r="BM16" s="148" t="str">
        <f t="shared" si="7"/>
        <v/>
      </c>
      <c r="BN16" s="149"/>
    </row>
    <row r="17" spans="1:66" s="52" customFormat="1" ht="28" customHeight="1" x14ac:dyDescent="0.35">
      <c r="A17" s="131" t="str">
        <f>IF(D17="","",Cover!$D$8)</f>
        <v/>
      </c>
      <c r="B17" s="131" t="str">
        <f>IF(D17="","",Cover!$D$7)</f>
        <v/>
      </c>
      <c r="C17" s="132" t="str">
        <f>IF(F17="","",IFERROR(VLOOKUP(F17,'Master Data'!$E$59:$J$144,6,FALSE),0))</f>
        <v/>
      </c>
      <c r="D17" s="133" t="str">
        <f>IF(F17="","",IFERROR(VLOOKUP(F17,'Master Data'!$E$59:$L$147,8,FALSE),0))</f>
        <v/>
      </c>
      <c r="E17" s="132" t="str">
        <f>IF(D17="","",IFERROR(VLOOKUP(D17,'Master Data'!$D$59:$I$147,6,FALSE),0))</f>
        <v/>
      </c>
      <c r="F17" s="134"/>
      <c r="G17" s="135"/>
      <c r="H17" s="136">
        <f>IFERROR(VLOOKUP(G17,'Master Data'!$C$336:$I$353,7,FALSE),0)</f>
        <v>0</v>
      </c>
      <c r="I17" s="137">
        <f>IFERROR(VLOOKUP(H17,'Master Data'!$B$336:$D$351,3,FALSE),0)</f>
        <v>0</v>
      </c>
      <c r="J17" s="138">
        <f>IFERROR(VLOOKUP(H17,'Master Data'!$B$336:$H$353,7,FALSE),0)</f>
        <v>0</v>
      </c>
      <c r="K17" s="139"/>
      <c r="L17" s="140" t="str">
        <f>IFERROR(IF(I17="FIXED ASSET",J17&amp;E17&amp;K17,VLOOKUP(F17,'Master Data'!$E$59:$H$144,4,FALSE)&amp;"-"&amp;J17&amp;"-"&amp;K17),"-")</f>
        <v>-</v>
      </c>
      <c r="M17" s="134"/>
      <c r="N17" s="141"/>
      <c r="O17" s="142"/>
      <c r="P17" s="142"/>
      <c r="Q17" s="142"/>
      <c r="R17" s="142"/>
      <c r="S17" s="142"/>
      <c r="T17" s="142"/>
      <c r="U17" s="142"/>
      <c r="V17" s="142"/>
      <c r="W17" s="142"/>
      <c r="X17" s="142"/>
      <c r="Y17" s="142"/>
      <c r="Z17" s="142"/>
      <c r="AA17" s="143">
        <f t="shared" si="1"/>
        <v>0</v>
      </c>
      <c r="AB17" s="144"/>
      <c r="AC17" s="142"/>
      <c r="AD17" s="142"/>
      <c r="AE17" s="142"/>
      <c r="AF17" s="142"/>
      <c r="AG17" s="142"/>
      <c r="AH17" s="142"/>
      <c r="AI17" s="142"/>
      <c r="AJ17" s="142"/>
      <c r="AK17" s="142"/>
      <c r="AL17" s="142"/>
      <c r="AM17" s="142"/>
      <c r="AN17" s="142"/>
      <c r="AO17" s="143">
        <f t="shared" si="2"/>
        <v>0</v>
      </c>
      <c r="AP17" s="144"/>
      <c r="AQ17" s="142"/>
      <c r="AR17" s="142"/>
      <c r="AS17" s="142"/>
      <c r="AT17" s="142"/>
      <c r="AU17" s="142"/>
      <c r="AV17" s="142"/>
      <c r="AW17" s="142"/>
      <c r="AX17" s="142"/>
      <c r="AY17" s="142"/>
      <c r="AZ17" s="142"/>
      <c r="BA17" s="142"/>
      <c r="BB17" s="142"/>
      <c r="BC17" s="143">
        <f t="shared" si="3"/>
        <v>0</v>
      </c>
      <c r="BD17" s="145">
        <f t="shared" si="4"/>
        <v>0</v>
      </c>
      <c r="BE17" s="135"/>
      <c r="BF17" s="146"/>
      <c r="BG17" s="146"/>
      <c r="BH17" s="146"/>
      <c r="BI17" s="147">
        <f t="shared" si="5"/>
        <v>0</v>
      </c>
      <c r="BJ17" s="146"/>
      <c r="BK17" s="148" t="str">
        <f t="shared" si="0"/>
        <v/>
      </c>
      <c r="BL17" s="148" t="str">
        <f t="shared" si="6"/>
        <v/>
      </c>
      <c r="BM17" s="148" t="str">
        <f t="shared" si="7"/>
        <v/>
      </c>
      <c r="BN17" s="149"/>
    </row>
    <row r="18" spans="1:66" s="52" customFormat="1" ht="28" customHeight="1" x14ac:dyDescent="0.35">
      <c r="A18" s="131" t="str">
        <f>IF(D18="","",Cover!$D$8)</f>
        <v/>
      </c>
      <c r="B18" s="131" t="str">
        <f>IF(D18="","",Cover!$D$7)</f>
        <v/>
      </c>
      <c r="C18" s="132" t="str">
        <f>IF(F18="","",IFERROR(VLOOKUP(F18,'Master Data'!$E$59:$J$144,6,FALSE),0))</f>
        <v/>
      </c>
      <c r="D18" s="133" t="str">
        <f>IF(F18="","",IFERROR(VLOOKUP(F18,'Master Data'!$E$59:$L$147,8,FALSE),0))</f>
        <v/>
      </c>
      <c r="E18" s="132" t="str">
        <f>IF(D18="","",IFERROR(VLOOKUP(D18,'Master Data'!$D$59:$I$147,6,FALSE),0))</f>
        <v/>
      </c>
      <c r="F18" s="134"/>
      <c r="G18" s="135"/>
      <c r="H18" s="136">
        <f>IFERROR(VLOOKUP(G18,'Master Data'!$C$336:$I$353,7,FALSE),0)</f>
        <v>0</v>
      </c>
      <c r="I18" s="137">
        <f>IFERROR(VLOOKUP(H18,'Master Data'!$B$336:$D$351,3,FALSE),0)</f>
        <v>0</v>
      </c>
      <c r="J18" s="138">
        <f>IFERROR(VLOOKUP(H18,'Master Data'!$B$336:$H$353,7,FALSE),0)</f>
        <v>0</v>
      </c>
      <c r="K18" s="139"/>
      <c r="L18" s="140" t="str">
        <f>IFERROR(IF(I18="FIXED ASSET",J18&amp;E18&amp;K18,VLOOKUP(F18,'Master Data'!$E$59:$H$144,4,FALSE)&amp;"-"&amp;J18&amp;"-"&amp;K18),"-")</f>
        <v>-</v>
      </c>
      <c r="M18" s="134"/>
      <c r="N18" s="141"/>
      <c r="O18" s="142"/>
      <c r="P18" s="142"/>
      <c r="Q18" s="142"/>
      <c r="R18" s="142"/>
      <c r="S18" s="142"/>
      <c r="T18" s="142"/>
      <c r="U18" s="142"/>
      <c r="V18" s="142"/>
      <c r="W18" s="142"/>
      <c r="X18" s="142"/>
      <c r="Y18" s="142"/>
      <c r="Z18" s="142"/>
      <c r="AA18" s="143">
        <f t="shared" si="1"/>
        <v>0</v>
      </c>
      <c r="AB18" s="144"/>
      <c r="AC18" s="142"/>
      <c r="AD18" s="142"/>
      <c r="AE18" s="142"/>
      <c r="AF18" s="142"/>
      <c r="AG18" s="142"/>
      <c r="AH18" s="142"/>
      <c r="AI18" s="142"/>
      <c r="AJ18" s="142"/>
      <c r="AK18" s="142"/>
      <c r="AL18" s="142"/>
      <c r="AM18" s="142"/>
      <c r="AN18" s="142"/>
      <c r="AO18" s="143">
        <f t="shared" si="2"/>
        <v>0</v>
      </c>
      <c r="AP18" s="144"/>
      <c r="AQ18" s="142"/>
      <c r="AR18" s="142"/>
      <c r="AS18" s="142"/>
      <c r="AT18" s="142"/>
      <c r="AU18" s="142"/>
      <c r="AV18" s="142"/>
      <c r="AW18" s="142"/>
      <c r="AX18" s="142"/>
      <c r="AY18" s="142"/>
      <c r="AZ18" s="142"/>
      <c r="BA18" s="142"/>
      <c r="BB18" s="142"/>
      <c r="BC18" s="143">
        <f t="shared" si="3"/>
        <v>0</v>
      </c>
      <c r="BD18" s="145">
        <f t="shared" si="4"/>
        <v>0</v>
      </c>
      <c r="BE18" s="135"/>
      <c r="BF18" s="146"/>
      <c r="BG18" s="146"/>
      <c r="BH18" s="146"/>
      <c r="BI18" s="147">
        <f t="shared" si="5"/>
        <v>0</v>
      </c>
      <c r="BJ18" s="146"/>
      <c r="BK18" s="148" t="str">
        <f t="shared" si="0"/>
        <v/>
      </c>
      <c r="BL18" s="148" t="str">
        <f t="shared" si="6"/>
        <v/>
      </c>
      <c r="BM18" s="148" t="str">
        <f t="shared" si="7"/>
        <v/>
      </c>
      <c r="BN18" s="149"/>
    </row>
    <row r="19" spans="1:66" s="52" customFormat="1" ht="28" customHeight="1" x14ac:dyDescent="0.35">
      <c r="A19" s="131" t="str">
        <f>IF(D19="","",Cover!$D$8)</f>
        <v/>
      </c>
      <c r="B19" s="131" t="str">
        <f>IF(D19="","",Cover!$D$7)</f>
        <v/>
      </c>
      <c r="C19" s="132" t="str">
        <f>IF(F19="","",IFERROR(VLOOKUP(F19,'Master Data'!$E$59:$J$144,6,FALSE),0))</f>
        <v/>
      </c>
      <c r="D19" s="133" t="str">
        <f>IF(F19="","",IFERROR(VLOOKUP(F19,'Master Data'!$E$59:$L$147,8,FALSE),0))</f>
        <v/>
      </c>
      <c r="E19" s="132" t="str">
        <f>IF(D19="","",IFERROR(VLOOKUP(D19,'Master Data'!$D$59:$I$147,6,FALSE),0))</f>
        <v/>
      </c>
      <c r="F19" s="134"/>
      <c r="G19" s="135"/>
      <c r="H19" s="136">
        <f>IFERROR(VLOOKUP(G19,'Master Data'!$C$336:$I$353,7,FALSE),0)</f>
        <v>0</v>
      </c>
      <c r="I19" s="137">
        <f>IFERROR(VLOOKUP(H19,'Master Data'!$B$336:$D$351,3,FALSE),0)</f>
        <v>0</v>
      </c>
      <c r="J19" s="138">
        <f>IFERROR(VLOOKUP(H19,'Master Data'!$B$336:$H$353,7,FALSE),0)</f>
        <v>0</v>
      </c>
      <c r="K19" s="139"/>
      <c r="L19" s="140" t="str">
        <f>IFERROR(IF(I19="FIXED ASSET",J19&amp;E19&amp;K19,VLOOKUP(F19,'Master Data'!$E$59:$H$144,4,FALSE)&amp;"-"&amp;J19&amp;"-"&amp;K19),"-")</f>
        <v>-</v>
      </c>
      <c r="M19" s="134"/>
      <c r="N19" s="141"/>
      <c r="O19" s="142"/>
      <c r="P19" s="142"/>
      <c r="Q19" s="142"/>
      <c r="R19" s="142"/>
      <c r="S19" s="142"/>
      <c r="T19" s="142"/>
      <c r="U19" s="142"/>
      <c r="V19" s="142"/>
      <c r="W19" s="142"/>
      <c r="X19" s="142"/>
      <c r="Y19" s="142"/>
      <c r="Z19" s="142"/>
      <c r="AA19" s="143">
        <f t="shared" si="1"/>
        <v>0</v>
      </c>
      <c r="AB19" s="144"/>
      <c r="AC19" s="142"/>
      <c r="AD19" s="142"/>
      <c r="AE19" s="142"/>
      <c r="AF19" s="142"/>
      <c r="AG19" s="142"/>
      <c r="AH19" s="142"/>
      <c r="AI19" s="142"/>
      <c r="AJ19" s="142"/>
      <c r="AK19" s="142"/>
      <c r="AL19" s="142"/>
      <c r="AM19" s="142"/>
      <c r="AN19" s="142"/>
      <c r="AO19" s="143">
        <f t="shared" si="2"/>
        <v>0</v>
      </c>
      <c r="AP19" s="144"/>
      <c r="AQ19" s="142"/>
      <c r="AR19" s="142"/>
      <c r="AS19" s="142"/>
      <c r="AT19" s="142"/>
      <c r="AU19" s="142"/>
      <c r="AV19" s="142"/>
      <c r="AW19" s="142"/>
      <c r="AX19" s="142"/>
      <c r="AY19" s="142"/>
      <c r="AZ19" s="142"/>
      <c r="BA19" s="142"/>
      <c r="BB19" s="142"/>
      <c r="BC19" s="143">
        <f t="shared" si="3"/>
        <v>0</v>
      </c>
      <c r="BD19" s="145">
        <f t="shared" si="4"/>
        <v>0</v>
      </c>
      <c r="BE19" s="135"/>
      <c r="BF19" s="146"/>
      <c r="BG19" s="146"/>
      <c r="BH19" s="146"/>
      <c r="BI19" s="147">
        <f t="shared" si="5"/>
        <v>0</v>
      </c>
      <c r="BJ19" s="146"/>
      <c r="BK19" s="148" t="str">
        <f t="shared" si="0"/>
        <v/>
      </c>
      <c r="BL19" s="148" t="str">
        <f t="shared" si="6"/>
        <v/>
      </c>
      <c r="BM19" s="148" t="str">
        <f t="shared" si="7"/>
        <v/>
      </c>
      <c r="BN19" s="149"/>
    </row>
    <row r="20" spans="1:66" s="52" customFormat="1" ht="28" customHeight="1" x14ac:dyDescent="0.35">
      <c r="A20" s="131" t="str">
        <f>IF(D20="","",Cover!$D$8)</f>
        <v/>
      </c>
      <c r="B20" s="131" t="str">
        <f>IF(D20="","",Cover!$D$7)</f>
        <v/>
      </c>
      <c r="C20" s="132" t="str">
        <f>IF(F20="","",IFERROR(VLOOKUP(F20,'Master Data'!$E$59:$J$144,6,FALSE),0))</f>
        <v/>
      </c>
      <c r="D20" s="133" t="str">
        <f>IF(F20="","",IFERROR(VLOOKUP(F20,'Master Data'!$E$59:$L$147,8,FALSE),0))</f>
        <v/>
      </c>
      <c r="E20" s="132" t="str">
        <f>IF(D20="","",IFERROR(VLOOKUP(D20,'Master Data'!$D$59:$I$147,6,FALSE),0))</f>
        <v/>
      </c>
      <c r="F20" s="134"/>
      <c r="G20" s="135"/>
      <c r="H20" s="136">
        <f>IFERROR(VLOOKUP(G20,'Master Data'!$C$336:$I$353,7,FALSE),0)</f>
        <v>0</v>
      </c>
      <c r="I20" s="137">
        <f>IFERROR(VLOOKUP(H20,'Master Data'!$B$336:$D$351,3,FALSE),0)</f>
        <v>0</v>
      </c>
      <c r="J20" s="138">
        <f>IFERROR(VLOOKUP(H20,'Master Data'!$B$336:$H$353,7,FALSE),0)</f>
        <v>0</v>
      </c>
      <c r="K20" s="139"/>
      <c r="L20" s="140" t="str">
        <f>IFERROR(IF(I20="FIXED ASSET",J20&amp;E20&amp;K20,VLOOKUP(F20,'Master Data'!$E$59:$H$144,4,FALSE)&amp;"-"&amp;J20&amp;"-"&amp;K20),"-")</f>
        <v>-</v>
      </c>
      <c r="M20" s="134"/>
      <c r="N20" s="141"/>
      <c r="O20" s="142"/>
      <c r="P20" s="142"/>
      <c r="Q20" s="142"/>
      <c r="R20" s="142"/>
      <c r="S20" s="142"/>
      <c r="T20" s="142"/>
      <c r="U20" s="142"/>
      <c r="V20" s="142"/>
      <c r="W20" s="142"/>
      <c r="X20" s="142"/>
      <c r="Y20" s="142"/>
      <c r="Z20" s="142"/>
      <c r="AA20" s="143">
        <f t="shared" si="1"/>
        <v>0</v>
      </c>
      <c r="AB20" s="144"/>
      <c r="AC20" s="142"/>
      <c r="AD20" s="142"/>
      <c r="AE20" s="142"/>
      <c r="AF20" s="142"/>
      <c r="AG20" s="142"/>
      <c r="AH20" s="142"/>
      <c r="AI20" s="142"/>
      <c r="AJ20" s="142"/>
      <c r="AK20" s="142"/>
      <c r="AL20" s="142"/>
      <c r="AM20" s="142"/>
      <c r="AN20" s="142"/>
      <c r="AO20" s="143">
        <f t="shared" si="2"/>
        <v>0</v>
      </c>
      <c r="AP20" s="144"/>
      <c r="AQ20" s="142"/>
      <c r="AR20" s="142"/>
      <c r="AS20" s="142"/>
      <c r="AT20" s="142"/>
      <c r="AU20" s="142"/>
      <c r="AV20" s="142"/>
      <c r="AW20" s="142"/>
      <c r="AX20" s="142"/>
      <c r="AY20" s="142"/>
      <c r="AZ20" s="142"/>
      <c r="BA20" s="142"/>
      <c r="BB20" s="142"/>
      <c r="BC20" s="143">
        <f t="shared" si="3"/>
        <v>0</v>
      </c>
      <c r="BD20" s="145">
        <f t="shared" si="4"/>
        <v>0</v>
      </c>
      <c r="BE20" s="135"/>
      <c r="BF20" s="146"/>
      <c r="BG20" s="146"/>
      <c r="BH20" s="146"/>
      <c r="BI20" s="147">
        <f t="shared" si="5"/>
        <v>0</v>
      </c>
      <c r="BJ20" s="146"/>
      <c r="BK20" s="148" t="str">
        <f t="shared" ref="BK20:BK25" si="8">IF($I20="PROJECT","Please Fill Start Date","")</f>
        <v/>
      </c>
      <c r="BL20" s="148" t="str">
        <f t="shared" si="6"/>
        <v/>
      </c>
      <c r="BM20" s="148" t="str">
        <f t="shared" si="7"/>
        <v/>
      </c>
      <c r="BN20" s="149"/>
    </row>
    <row r="21" spans="1:66" s="52" customFormat="1" ht="28" customHeight="1" x14ac:dyDescent="0.35">
      <c r="A21" s="131" t="str">
        <f>IF(D21="","",Cover!$D$8)</f>
        <v/>
      </c>
      <c r="B21" s="131" t="str">
        <f>IF(D21="","",Cover!$D$7)</f>
        <v/>
      </c>
      <c r="C21" s="132" t="str">
        <f>IF(F21="","",IFERROR(VLOOKUP(F21,'Master Data'!$E$59:$J$144,6,FALSE),0))</f>
        <v/>
      </c>
      <c r="D21" s="133" t="str">
        <f>IF(F21="","",IFERROR(VLOOKUP(F21,'Master Data'!$E$59:$L$147,8,FALSE),0))</f>
        <v/>
      </c>
      <c r="E21" s="132" t="str">
        <f>IF(D21="","",IFERROR(VLOOKUP(D21,'Master Data'!$D$59:$I$147,6,FALSE),0))</f>
        <v/>
      </c>
      <c r="F21" s="134"/>
      <c r="G21" s="135"/>
      <c r="H21" s="136">
        <f>IFERROR(VLOOKUP(G21,'Master Data'!$C$336:$I$353,7,FALSE),0)</f>
        <v>0</v>
      </c>
      <c r="I21" s="137">
        <f>IFERROR(VLOOKUP(H21,'Master Data'!$B$336:$D$351,3,FALSE),0)</f>
        <v>0</v>
      </c>
      <c r="J21" s="138">
        <f>IFERROR(VLOOKUP(H21,'Master Data'!$B$336:$H$353,7,FALSE),0)</f>
        <v>0</v>
      </c>
      <c r="K21" s="139"/>
      <c r="L21" s="140" t="str">
        <f>IFERROR(IF(I21="FIXED ASSET",J21&amp;E21&amp;K21,VLOOKUP(F21,'Master Data'!$E$59:$H$144,4,FALSE)&amp;"-"&amp;J21&amp;"-"&amp;K21),"-")</f>
        <v>-</v>
      </c>
      <c r="M21" s="134"/>
      <c r="N21" s="141"/>
      <c r="O21" s="142"/>
      <c r="P21" s="142"/>
      <c r="Q21" s="142"/>
      <c r="R21" s="142"/>
      <c r="S21" s="142"/>
      <c r="T21" s="142"/>
      <c r="U21" s="142"/>
      <c r="V21" s="142"/>
      <c r="W21" s="142"/>
      <c r="X21" s="142"/>
      <c r="Y21" s="142"/>
      <c r="Z21" s="142"/>
      <c r="AA21" s="143">
        <f t="shared" si="1"/>
        <v>0</v>
      </c>
      <c r="AB21" s="144"/>
      <c r="AC21" s="142"/>
      <c r="AD21" s="142"/>
      <c r="AE21" s="142"/>
      <c r="AF21" s="142"/>
      <c r="AG21" s="142"/>
      <c r="AH21" s="142"/>
      <c r="AI21" s="142"/>
      <c r="AJ21" s="142"/>
      <c r="AK21" s="142"/>
      <c r="AL21" s="142"/>
      <c r="AM21" s="142"/>
      <c r="AN21" s="142"/>
      <c r="AO21" s="143">
        <f t="shared" si="2"/>
        <v>0</v>
      </c>
      <c r="AP21" s="144"/>
      <c r="AQ21" s="142"/>
      <c r="AR21" s="142"/>
      <c r="AS21" s="142"/>
      <c r="AT21" s="142"/>
      <c r="AU21" s="142"/>
      <c r="AV21" s="142"/>
      <c r="AW21" s="142"/>
      <c r="AX21" s="142"/>
      <c r="AY21" s="142"/>
      <c r="AZ21" s="142"/>
      <c r="BA21" s="142"/>
      <c r="BB21" s="142"/>
      <c r="BC21" s="143">
        <f t="shared" si="3"/>
        <v>0</v>
      </c>
      <c r="BD21" s="145">
        <f t="shared" si="4"/>
        <v>0</v>
      </c>
      <c r="BE21" s="135"/>
      <c r="BF21" s="146"/>
      <c r="BG21" s="146"/>
      <c r="BH21" s="146"/>
      <c r="BI21" s="147">
        <f t="shared" si="5"/>
        <v>0</v>
      </c>
      <c r="BJ21" s="146"/>
      <c r="BK21" s="148" t="str">
        <f t="shared" si="8"/>
        <v/>
      </c>
      <c r="BL21" s="148" t="str">
        <f t="shared" si="6"/>
        <v/>
      </c>
      <c r="BM21" s="148" t="str">
        <f t="shared" si="7"/>
        <v/>
      </c>
      <c r="BN21" s="149"/>
    </row>
    <row r="22" spans="1:66" s="52" customFormat="1" ht="28" customHeight="1" x14ac:dyDescent="0.35">
      <c r="A22" s="131" t="str">
        <f>IF(D22="","",Cover!$D$8)</f>
        <v/>
      </c>
      <c r="B22" s="131" t="str">
        <f>IF(D22="","",Cover!$D$7)</f>
        <v/>
      </c>
      <c r="C22" s="132" t="str">
        <f>IF(F22="","",IFERROR(VLOOKUP(F22,'Master Data'!$E$59:$J$144,6,FALSE),0))</f>
        <v/>
      </c>
      <c r="D22" s="133" t="str">
        <f>IF(F22="","",IFERROR(VLOOKUP(F22,'Master Data'!$E$59:$L$147,8,FALSE),0))</f>
        <v/>
      </c>
      <c r="E22" s="132" t="str">
        <f>IF(D22="","",IFERROR(VLOOKUP(D22,'Master Data'!$D$59:$I$147,6,FALSE),0))</f>
        <v/>
      </c>
      <c r="F22" s="134"/>
      <c r="G22" s="135"/>
      <c r="H22" s="136">
        <f>IFERROR(VLOOKUP(G22,'Master Data'!$C$336:$I$353,7,FALSE),0)</f>
        <v>0</v>
      </c>
      <c r="I22" s="137">
        <f>IFERROR(VLOOKUP(H22,'Master Data'!$B$336:$D$351,3,FALSE),0)</f>
        <v>0</v>
      </c>
      <c r="J22" s="138">
        <f>IFERROR(VLOOKUP(H22,'Master Data'!$B$336:$H$353,7,FALSE),0)</f>
        <v>0</v>
      </c>
      <c r="K22" s="139"/>
      <c r="L22" s="140" t="str">
        <f>IFERROR(IF(I22="FIXED ASSET",J22&amp;E22&amp;K22,VLOOKUP(F22,'Master Data'!$E$59:$H$144,4,FALSE)&amp;"-"&amp;J22&amp;"-"&amp;K22),"-")</f>
        <v>-</v>
      </c>
      <c r="M22" s="134"/>
      <c r="N22" s="141"/>
      <c r="O22" s="142"/>
      <c r="P22" s="142"/>
      <c r="Q22" s="142"/>
      <c r="R22" s="142"/>
      <c r="S22" s="142"/>
      <c r="T22" s="142"/>
      <c r="U22" s="142"/>
      <c r="V22" s="142"/>
      <c r="W22" s="142"/>
      <c r="X22" s="142"/>
      <c r="Y22" s="142"/>
      <c r="Z22" s="142"/>
      <c r="AA22" s="143">
        <f t="shared" si="1"/>
        <v>0</v>
      </c>
      <c r="AB22" s="144"/>
      <c r="AC22" s="142"/>
      <c r="AD22" s="142"/>
      <c r="AE22" s="142"/>
      <c r="AF22" s="142"/>
      <c r="AG22" s="142"/>
      <c r="AH22" s="142"/>
      <c r="AI22" s="142"/>
      <c r="AJ22" s="142"/>
      <c r="AK22" s="142"/>
      <c r="AL22" s="142"/>
      <c r="AM22" s="142"/>
      <c r="AN22" s="142"/>
      <c r="AO22" s="143">
        <f t="shared" si="2"/>
        <v>0</v>
      </c>
      <c r="AP22" s="144"/>
      <c r="AQ22" s="142"/>
      <c r="AR22" s="142"/>
      <c r="AS22" s="142"/>
      <c r="AT22" s="142"/>
      <c r="AU22" s="142"/>
      <c r="AV22" s="142"/>
      <c r="AW22" s="142"/>
      <c r="AX22" s="142"/>
      <c r="AY22" s="142"/>
      <c r="AZ22" s="142"/>
      <c r="BA22" s="142"/>
      <c r="BB22" s="142"/>
      <c r="BC22" s="143">
        <f t="shared" si="3"/>
        <v>0</v>
      </c>
      <c r="BD22" s="145">
        <f t="shared" si="4"/>
        <v>0</v>
      </c>
      <c r="BE22" s="135"/>
      <c r="BF22" s="146"/>
      <c r="BG22" s="146"/>
      <c r="BH22" s="146"/>
      <c r="BI22" s="147">
        <f t="shared" si="5"/>
        <v>0</v>
      </c>
      <c r="BJ22" s="146"/>
      <c r="BK22" s="148" t="str">
        <f t="shared" si="8"/>
        <v/>
      </c>
      <c r="BL22" s="148" t="str">
        <f t="shared" si="6"/>
        <v/>
      </c>
      <c r="BM22" s="148" t="str">
        <f t="shared" si="7"/>
        <v/>
      </c>
      <c r="BN22" s="149"/>
    </row>
    <row r="23" spans="1:66" s="52" customFormat="1" ht="28" customHeight="1" x14ac:dyDescent="0.35">
      <c r="A23" s="131" t="str">
        <f>IF(D23="","",Cover!$D$8)</f>
        <v/>
      </c>
      <c r="B23" s="131" t="str">
        <f>IF(D23="","",Cover!$D$7)</f>
        <v/>
      </c>
      <c r="C23" s="132" t="str">
        <f>IF(F23="","",IFERROR(VLOOKUP(F23,'Master Data'!$E$59:$J$144,6,FALSE),0))</f>
        <v/>
      </c>
      <c r="D23" s="133" t="str">
        <f>IF(F23="","",IFERROR(VLOOKUP(F23,'Master Data'!$E$59:$L$147,8,FALSE),0))</f>
        <v/>
      </c>
      <c r="E23" s="132" t="str">
        <f>IF(D23="","",IFERROR(VLOOKUP(D23,'Master Data'!$D$59:$I$147,6,FALSE),0))</f>
        <v/>
      </c>
      <c r="F23" s="134"/>
      <c r="G23" s="135"/>
      <c r="H23" s="136">
        <f>IFERROR(VLOOKUP(G23,'Master Data'!$C$336:$I$353,7,FALSE),0)</f>
        <v>0</v>
      </c>
      <c r="I23" s="137">
        <f>IFERROR(VLOOKUP(H23,'Master Data'!$B$336:$D$351,3,FALSE),0)</f>
        <v>0</v>
      </c>
      <c r="J23" s="138">
        <f>IFERROR(VLOOKUP(H23,'Master Data'!$B$336:$H$353,7,FALSE),0)</f>
        <v>0</v>
      </c>
      <c r="K23" s="139"/>
      <c r="L23" s="140" t="str">
        <f>IFERROR(IF(I23="FIXED ASSET",J23&amp;E23&amp;K23,VLOOKUP(F23,'Master Data'!$E$59:$H$144,4,FALSE)&amp;"-"&amp;J23&amp;"-"&amp;K23),"-")</f>
        <v>-</v>
      </c>
      <c r="M23" s="134"/>
      <c r="N23" s="141"/>
      <c r="O23" s="142"/>
      <c r="P23" s="142"/>
      <c r="Q23" s="142"/>
      <c r="R23" s="142"/>
      <c r="S23" s="142"/>
      <c r="T23" s="142"/>
      <c r="U23" s="142"/>
      <c r="V23" s="142"/>
      <c r="W23" s="142"/>
      <c r="X23" s="142"/>
      <c r="Y23" s="142"/>
      <c r="Z23" s="142"/>
      <c r="AA23" s="143">
        <f t="shared" si="1"/>
        <v>0</v>
      </c>
      <c r="AB23" s="144"/>
      <c r="AC23" s="142"/>
      <c r="AD23" s="142"/>
      <c r="AE23" s="142"/>
      <c r="AF23" s="142"/>
      <c r="AG23" s="142"/>
      <c r="AH23" s="142"/>
      <c r="AI23" s="142"/>
      <c r="AJ23" s="142"/>
      <c r="AK23" s="142"/>
      <c r="AL23" s="142"/>
      <c r="AM23" s="142"/>
      <c r="AN23" s="142"/>
      <c r="AO23" s="143">
        <f t="shared" si="2"/>
        <v>0</v>
      </c>
      <c r="AP23" s="144"/>
      <c r="AQ23" s="142"/>
      <c r="AR23" s="142"/>
      <c r="AS23" s="142"/>
      <c r="AT23" s="142"/>
      <c r="AU23" s="142"/>
      <c r="AV23" s="142"/>
      <c r="AW23" s="142"/>
      <c r="AX23" s="142"/>
      <c r="AY23" s="142"/>
      <c r="AZ23" s="142"/>
      <c r="BA23" s="142"/>
      <c r="BB23" s="142"/>
      <c r="BC23" s="143">
        <f t="shared" si="3"/>
        <v>0</v>
      </c>
      <c r="BD23" s="145">
        <f t="shared" si="4"/>
        <v>0</v>
      </c>
      <c r="BE23" s="135"/>
      <c r="BF23" s="146"/>
      <c r="BG23" s="146"/>
      <c r="BH23" s="146"/>
      <c r="BI23" s="147">
        <f t="shared" si="5"/>
        <v>0</v>
      </c>
      <c r="BJ23" s="146"/>
      <c r="BK23" s="148" t="str">
        <f t="shared" si="8"/>
        <v/>
      </c>
      <c r="BL23" s="148" t="str">
        <f t="shared" si="6"/>
        <v/>
      </c>
      <c r="BM23" s="148" t="str">
        <f t="shared" si="7"/>
        <v/>
      </c>
      <c r="BN23" s="149"/>
    </row>
    <row r="24" spans="1:66" s="52" customFormat="1" ht="28" customHeight="1" x14ac:dyDescent="0.35">
      <c r="A24" s="131" t="str">
        <f>IF(D24="","",Cover!$D$8)</f>
        <v/>
      </c>
      <c r="B24" s="131" t="str">
        <f>IF(D24="","",Cover!$D$7)</f>
        <v/>
      </c>
      <c r="C24" s="132" t="str">
        <f>IF(F24="","",IFERROR(VLOOKUP(F24,'Master Data'!$E$59:$J$144,6,FALSE),0))</f>
        <v/>
      </c>
      <c r="D24" s="133" t="str">
        <f>IF(F24="","",IFERROR(VLOOKUP(F24,'Master Data'!$E$59:$L$147,8,FALSE),0))</f>
        <v/>
      </c>
      <c r="E24" s="132" t="str">
        <f>IF(D24="","",IFERROR(VLOOKUP(D24,'Master Data'!$D$59:$I$147,6,FALSE),0))</f>
        <v/>
      </c>
      <c r="F24" s="134"/>
      <c r="G24" s="135"/>
      <c r="H24" s="136">
        <f>IFERROR(VLOOKUP(G24,'Master Data'!$C$336:$I$353,7,FALSE),0)</f>
        <v>0</v>
      </c>
      <c r="I24" s="137">
        <f>IFERROR(VLOOKUP(H24,'Master Data'!$B$336:$D$351,3,FALSE),0)</f>
        <v>0</v>
      </c>
      <c r="J24" s="138">
        <f>IFERROR(VLOOKUP(H24,'Master Data'!$B$336:$H$353,7,FALSE),0)</f>
        <v>0</v>
      </c>
      <c r="K24" s="139"/>
      <c r="L24" s="140" t="str">
        <f>IFERROR(IF(I24="FIXED ASSET",J24&amp;E24&amp;K24,VLOOKUP(F24,'Master Data'!$E$59:$H$144,4,FALSE)&amp;"-"&amp;J24&amp;"-"&amp;K24),"-")</f>
        <v>-</v>
      </c>
      <c r="M24" s="134"/>
      <c r="N24" s="141"/>
      <c r="O24" s="142"/>
      <c r="P24" s="142"/>
      <c r="Q24" s="142"/>
      <c r="R24" s="142"/>
      <c r="S24" s="142"/>
      <c r="T24" s="142"/>
      <c r="U24" s="142"/>
      <c r="V24" s="142"/>
      <c r="W24" s="142"/>
      <c r="X24" s="142"/>
      <c r="Y24" s="142"/>
      <c r="Z24" s="142"/>
      <c r="AA24" s="143">
        <f t="shared" si="1"/>
        <v>0</v>
      </c>
      <c r="AB24" s="144"/>
      <c r="AC24" s="142"/>
      <c r="AD24" s="142"/>
      <c r="AE24" s="142"/>
      <c r="AF24" s="142"/>
      <c r="AG24" s="142"/>
      <c r="AH24" s="142"/>
      <c r="AI24" s="142"/>
      <c r="AJ24" s="142"/>
      <c r="AK24" s="142"/>
      <c r="AL24" s="142"/>
      <c r="AM24" s="142"/>
      <c r="AN24" s="142"/>
      <c r="AO24" s="143">
        <f t="shared" si="2"/>
        <v>0</v>
      </c>
      <c r="AP24" s="144"/>
      <c r="AQ24" s="142"/>
      <c r="AR24" s="142"/>
      <c r="AS24" s="142"/>
      <c r="AT24" s="142"/>
      <c r="AU24" s="142"/>
      <c r="AV24" s="142"/>
      <c r="AW24" s="142"/>
      <c r="AX24" s="142"/>
      <c r="AY24" s="142"/>
      <c r="AZ24" s="142"/>
      <c r="BA24" s="142"/>
      <c r="BB24" s="142"/>
      <c r="BC24" s="143">
        <f t="shared" si="3"/>
        <v>0</v>
      </c>
      <c r="BD24" s="145">
        <f t="shared" si="4"/>
        <v>0</v>
      </c>
      <c r="BE24" s="135"/>
      <c r="BF24" s="146"/>
      <c r="BG24" s="146"/>
      <c r="BH24" s="146"/>
      <c r="BI24" s="147">
        <f t="shared" si="5"/>
        <v>0</v>
      </c>
      <c r="BJ24" s="146"/>
      <c r="BK24" s="148" t="str">
        <f t="shared" si="8"/>
        <v/>
      </c>
      <c r="BL24" s="148" t="str">
        <f t="shared" si="6"/>
        <v/>
      </c>
      <c r="BM24" s="148" t="str">
        <f t="shared" si="7"/>
        <v/>
      </c>
      <c r="BN24" s="149"/>
    </row>
    <row r="25" spans="1:66" ht="28" customHeight="1" x14ac:dyDescent="0.35">
      <c r="A25" s="131" t="str">
        <f>IF(D25="","",Cover!$D$8)</f>
        <v/>
      </c>
      <c r="B25" s="131" t="str">
        <f>IF(D25="","",Cover!$D$7)</f>
        <v/>
      </c>
      <c r="C25" s="132" t="str">
        <f>IF(F25="","",IFERROR(VLOOKUP(F25,'Master Data'!$E$59:$J$144,6,FALSE),0))</f>
        <v/>
      </c>
      <c r="D25" s="133" t="str">
        <f>IF(F25="","",IFERROR(VLOOKUP(F25,'Master Data'!$E$59:$L$147,8,FALSE),0))</f>
        <v/>
      </c>
      <c r="E25" s="132" t="str">
        <f>IF(D25="","",IFERROR(VLOOKUP(D25,'Master Data'!$D$59:$I$147,6,FALSE),0))</f>
        <v/>
      </c>
      <c r="F25" s="134"/>
      <c r="G25" s="135"/>
      <c r="H25" s="136">
        <f>IFERROR(VLOOKUP(G25,'Master Data'!$C$336:$I$353,7,FALSE),0)</f>
        <v>0</v>
      </c>
      <c r="I25" s="137">
        <f>IFERROR(VLOOKUP(H25,'Master Data'!$B$336:$D$351,3,FALSE),0)</f>
        <v>0</v>
      </c>
      <c r="J25" s="138">
        <f>IFERROR(VLOOKUP(H25,'Master Data'!$B$336:$H$353,7,FALSE),0)</f>
        <v>0</v>
      </c>
      <c r="K25" s="139"/>
      <c r="L25" s="140" t="str">
        <f>IFERROR(IF(I25="FIXED ASSET",J25&amp;E25&amp;K25,VLOOKUP(F25,'Master Data'!$E$59:$H$144,4,FALSE)&amp;"-"&amp;J25&amp;"-"&amp;K25),"-")</f>
        <v>-</v>
      </c>
      <c r="M25" s="134"/>
      <c r="N25" s="141"/>
      <c r="O25" s="142"/>
      <c r="P25" s="142"/>
      <c r="Q25" s="142"/>
      <c r="R25" s="142"/>
      <c r="S25" s="142"/>
      <c r="T25" s="142"/>
      <c r="U25" s="142"/>
      <c r="V25" s="142"/>
      <c r="W25" s="142"/>
      <c r="X25" s="142"/>
      <c r="Y25" s="142"/>
      <c r="Z25" s="142"/>
      <c r="AA25" s="143">
        <f t="shared" si="1"/>
        <v>0</v>
      </c>
      <c r="AB25" s="144"/>
      <c r="AC25" s="142"/>
      <c r="AD25" s="142"/>
      <c r="AE25" s="142"/>
      <c r="AF25" s="142"/>
      <c r="AG25" s="142"/>
      <c r="AH25" s="142"/>
      <c r="AI25" s="142"/>
      <c r="AJ25" s="142"/>
      <c r="AK25" s="142"/>
      <c r="AL25" s="142"/>
      <c r="AM25" s="142"/>
      <c r="AN25" s="142"/>
      <c r="AO25" s="143">
        <f t="shared" si="2"/>
        <v>0</v>
      </c>
      <c r="AP25" s="144"/>
      <c r="AQ25" s="142"/>
      <c r="AR25" s="142"/>
      <c r="AS25" s="142"/>
      <c r="AT25" s="142"/>
      <c r="AU25" s="142"/>
      <c r="AV25" s="142"/>
      <c r="AW25" s="142"/>
      <c r="AX25" s="142"/>
      <c r="AY25" s="142"/>
      <c r="AZ25" s="142"/>
      <c r="BA25" s="142"/>
      <c r="BB25" s="142"/>
      <c r="BC25" s="143">
        <f t="shared" si="3"/>
        <v>0</v>
      </c>
      <c r="BD25" s="145">
        <f t="shared" si="4"/>
        <v>0</v>
      </c>
      <c r="BE25" s="135"/>
      <c r="BF25" s="146"/>
      <c r="BG25" s="146"/>
      <c r="BH25" s="146"/>
      <c r="BI25" s="147">
        <f t="shared" si="5"/>
        <v>0</v>
      </c>
      <c r="BJ25" s="146"/>
      <c r="BK25" s="148" t="str">
        <f t="shared" si="8"/>
        <v/>
      </c>
      <c r="BL25" s="148" t="str">
        <f t="shared" si="6"/>
        <v/>
      </c>
      <c r="BM25" s="148" t="str">
        <f t="shared" si="7"/>
        <v/>
      </c>
      <c r="BN25" s="149"/>
    </row>
  </sheetData>
  <sheetProtection formatColumns="0" formatRows="0" autoFilter="0"/>
  <autoFilter ref="A3:BM25" xr:uid="{00000000-0009-0000-0000-000003000000}"/>
  <dataConsolidate/>
  <mergeCells count="1">
    <mergeCell ref="D3:E3"/>
  </mergeCells>
  <phoneticPr fontId="23" type="noConversion"/>
  <conditionalFormatting sqref="BK4:BK25">
    <cfRule type="containsText" dxfId="6" priority="7" operator="containsText" text="Please Fill Start Date">
      <formula>NOT(ISERROR(SEARCH("Please Fill Start Date",BK4)))</formula>
    </cfRule>
  </conditionalFormatting>
  <conditionalFormatting sqref="BL4:BL25">
    <cfRule type="containsText" dxfId="5" priority="6" operator="containsText" text="Please Fill Start Date">
      <formula>NOT(ISERROR(SEARCH("Please Fill Start Date",BL4)))</formula>
    </cfRule>
  </conditionalFormatting>
  <conditionalFormatting sqref="BM4:BM25">
    <cfRule type="containsText" dxfId="4" priority="4" operator="containsText" text="Please Fill Remarks">
      <formula>NOT(ISERROR(SEARCH("Please Fill Remarks",BM4)))</formula>
    </cfRule>
    <cfRule type="containsText" dxfId="3" priority="5" operator="containsText" text="Please Fill Start Date">
      <formula>NOT(ISERROR(SEARCH("Please Fill Start Date",BM4)))</formula>
    </cfRule>
  </conditionalFormatting>
  <conditionalFormatting sqref="K4:K25">
    <cfRule type="containsText" dxfId="2"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25" xr:uid="{D9601B00-C2AC-4715-B511-30FF4AA18573}"/>
    <dataValidation type="custom" showInputMessage="1" showErrorMessage="1" error="Pastikan Ledger Number dan Cost Center sudah terisi" sqref="AC4:AN25 O4:Z25 AQ4:BB25"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25" xr:uid="{536D0760-98D3-4705-AB97-335B58E5EA1F}"/>
  </dataValidations>
  <pageMargins left="0.27" right="0.28000000000000003" top="0.44" bottom="0.75" header="0" footer="0"/>
  <pageSetup paperSize="9" scale="15" orientation="landscape" r:id="rId1"/>
  <ignoredErrors>
    <ignoredError sqref="BK4 BM4"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6555D359-4810-45AC-ADB4-040CC3FDC496}">
          <x14:formula1>
            <xm:f>'Master Data'!$C$336:$C$353</xm:f>
          </x14:formula1>
          <xm:sqref>G4:G25</xm:sqref>
        </x14:dataValidation>
        <x14:dataValidation type="list" allowBlank="1" showInputMessage="1" showErrorMessage="1" promptTitle="Please Fill Priority" prompt="These field should be filled from listed priority options_x000a_- High_x000a_- Medium_x000a_- Low" xr:uid="{B8C42DB9-AA0A-4276-A02A-E9DD30810999}">
          <x14:formula1>
            <xm:f>'Master Data'!$B$357:$B$359</xm:f>
          </x14:formula1>
          <xm:sqref>BE4:BE25</xm:sqref>
        </x14:dataValidation>
        <x14:dataValidation type="list" allowBlank="1" showInputMessage="1" showErrorMessage="1" xr:uid="{E2BE6F82-A791-4CFE-86E7-9B8375742A42}">
          <x14:formula1>
            <xm:f>'Master Data'!$B$372:$B$373</xm:f>
          </x14:formula1>
          <xm:sqref>BG4:BG25</xm:sqref>
        </x14:dataValidation>
        <x14:dataValidation type="list" allowBlank="1" showInputMessage="1" showErrorMessage="1" xr:uid="{9718235D-76C0-4B83-819C-AB13BCCC25CD}">
          <x14:formula1>
            <xm:f>'Master Data'!$B$365:$B$368</xm:f>
          </x14:formula1>
          <xm:sqref>BJ4:BJ25</xm:sqref>
        </x14:dataValidation>
        <x14:dataValidation type="list" allowBlank="1" showInputMessage="1" showErrorMessage="1" xr:uid="{ED53EB95-A840-4D75-8550-17F2B4D48E3F}">
          <x14:formula1>
            <xm:f>'Master Data'!$E$101:$E$104</xm:f>
          </x14:formula1>
          <xm:sqref>F4:F25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64"/>
  <sheetViews>
    <sheetView showGridLines="0" zoomScale="80" zoomScaleNormal="80" workbookViewId="0">
      <pane xSplit="5" ySplit="3" topLeftCell="F4" activePane="bottomRight" state="frozen"/>
      <selection activeCell="J4" sqref="J4:J32"/>
      <selection pane="topRight" activeCell="J4" sqref="J4:J32"/>
      <selection pane="bottomLeft" activeCell="J4" sqref="J4:J32"/>
      <selection pane="bottomRight" activeCell="A3" sqref="A3"/>
    </sheetView>
  </sheetViews>
  <sheetFormatPr defaultColWidth="9.1796875" defaultRowHeight="14.5" outlineLevelCol="1" x14ac:dyDescent="0.35"/>
  <cols>
    <col min="1" max="1" width="17.81640625" style="84" customWidth="1"/>
    <col min="2" max="2" width="19" style="84" customWidth="1"/>
    <col min="3" max="3" width="16.453125" style="84" customWidth="1"/>
    <col min="4" max="4" width="36.7265625" style="117" customWidth="1"/>
    <col min="5" max="5" width="22.54296875" style="84" customWidth="1"/>
    <col min="6" max="6" width="15.26953125" style="84" customWidth="1" outlineLevel="1"/>
    <col min="7" max="7" width="27.1796875" style="84" customWidth="1" outlineLevel="1"/>
    <col min="8" max="8" width="12.81640625" style="84" customWidth="1" outlineLevel="1"/>
    <col min="9" max="9" width="39.54296875" style="84" customWidth="1" outlineLevel="1"/>
    <col min="10" max="11" width="17.7265625" style="84" customWidth="1"/>
    <col min="12" max="23" width="17.7265625" style="84" customWidth="1" outlineLevel="1"/>
    <col min="24" max="24" width="17.7265625" style="84" customWidth="1"/>
    <col min="25" max="25" width="1.54296875" style="84" customWidth="1"/>
    <col min="26" max="26" width="13.54296875" style="84" bestFit="1" customWidth="1" outlineLevel="1"/>
    <col min="27" max="27" width="13.54296875" style="204" bestFit="1" customWidth="1" outlineLevel="1"/>
    <col min="28" max="29" width="13.54296875" style="84" bestFit="1" customWidth="1" outlineLevel="1"/>
    <col min="30" max="30" width="13.54296875" style="171" bestFit="1" customWidth="1" outlineLevel="1"/>
    <col min="31" max="31" width="13.54296875" style="172" bestFit="1" customWidth="1" outlineLevel="1"/>
    <col min="32" max="34" width="13.54296875" style="84" bestFit="1" customWidth="1" outlineLevel="1"/>
    <col min="35" max="36" width="13.54296875" style="172" bestFit="1" customWidth="1" outlineLevel="1"/>
    <col min="37" max="37" width="13.54296875" style="84" bestFit="1" customWidth="1" outlineLevel="1"/>
    <col min="38" max="38" width="11.26953125" style="84" bestFit="1" customWidth="1"/>
    <col min="39" max="39" width="2.1796875" style="172" customWidth="1"/>
    <col min="40" max="40" width="13.54296875" style="84" bestFit="1" customWidth="1" outlineLevel="1"/>
    <col min="41" max="44" width="13.54296875" style="174" bestFit="1" customWidth="1" outlineLevel="1"/>
    <col min="45" max="51" width="7.81640625" style="174" bestFit="1" customWidth="1" outlineLevel="1"/>
    <col min="52" max="52" width="5.54296875" style="174" bestFit="1" customWidth="1" outlineLevel="1"/>
    <col min="53" max="53" width="20.1796875" style="174" customWidth="1"/>
    <col min="54" max="54" width="22.1796875" style="174" customWidth="1"/>
    <col min="55" max="55" width="9.1796875" style="174"/>
    <col min="56" max="56" width="18.1796875" style="174" customWidth="1"/>
    <col min="57" max="58" width="9.1796875" style="174"/>
    <col min="59" max="59" width="12.453125" style="174" customWidth="1"/>
    <col min="60" max="60" width="14.26953125" style="174" customWidth="1"/>
    <col min="61" max="61" width="20.26953125" style="174" customWidth="1"/>
    <col min="62" max="62" width="15.453125" style="174" customWidth="1"/>
    <col min="63" max="63" width="14.54296875" style="174" customWidth="1"/>
    <col min="64" max="64" width="14.453125" style="174" customWidth="1"/>
    <col min="65" max="65" width="19.453125" style="174" customWidth="1"/>
    <col min="66" max="66" width="19.54296875" style="174" bestFit="1" customWidth="1"/>
    <col min="67" max="67" width="14.453125" style="174" customWidth="1"/>
    <col min="68" max="68" width="12.26953125" style="174" customWidth="1"/>
    <col min="69" max="69" width="9.1796875" style="174"/>
    <col min="70" max="70" width="30.453125" style="174" bestFit="1" customWidth="1"/>
    <col min="71" max="71" width="23.81640625" style="174" bestFit="1" customWidth="1"/>
    <col min="72" max="72" width="30.7265625" style="174" bestFit="1" customWidth="1"/>
    <col min="73" max="16384" width="9.1796875" style="174"/>
  </cols>
  <sheetData>
    <row r="1" spans="1:72" x14ac:dyDescent="0.35">
      <c r="Y1" s="124"/>
      <c r="Z1" s="125"/>
      <c r="AA1" s="125"/>
      <c r="AB1" s="123"/>
      <c r="AC1" s="123"/>
      <c r="AD1" s="123"/>
      <c r="AE1" s="123"/>
      <c r="AF1" s="123"/>
      <c r="AG1" s="123"/>
      <c r="AH1" s="123"/>
      <c r="AI1" s="123"/>
      <c r="AJ1" s="123"/>
      <c r="AK1" s="123"/>
      <c r="AL1" s="123"/>
      <c r="AM1" s="126"/>
      <c r="AN1" s="125"/>
      <c r="AO1" s="125"/>
      <c r="AP1" s="123"/>
      <c r="AQ1" s="123"/>
      <c r="AR1" s="123"/>
      <c r="AS1" s="123"/>
      <c r="AT1" s="123"/>
      <c r="AU1" s="123"/>
      <c r="AV1" s="123"/>
      <c r="AW1" s="123"/>
      <c r="AX1" s="123"/>
      <c r="AY1" s="123"/>
      <c r="AZ1" s="123"/>
      <c r="BA1" s="84"/>
      <c r="BB1" s="84"/>
      <c r="BC1" s="84"/>
      <c r="BD1" s="84"/>
      <c r="BE1" s="84"/>
      <c r="BF1" s="171"/>
      <c r="BG1" s="172"/>
      <c r="BH1" s="84"/>
      <c r="BI1" s="84"/>
      <c r="BL1" s="172"/>
      <c r="BM1" s="96"/>
      <c r="BN1" s="84"/>
      <c r="BO1" s="172"/>
      <c r="BP1" s="84"/>
    </row>
    <row r="2" spans="1:72" x14ac:dyDescent="0.35">
      <c r="A2" s="250"/>
      <c r="B2" s="250"/>
      <c r="C2" s="250"/>
      <c r="D2" s="251"/>
      <c r="E2" s="250"/>
      <c r="F2" s="250"/>
      <c r="G2" s="250"/>
      <c r="H2" s="250"/>
      <c r="I2" s="250"/>
      <c r="J2" s="250"/>
      <c r="K2" s="250"/>
      <c r="L2" s="252" t="s">
        <v>674</v>
      </c>
      <c r="M2" s="253"/>
      <c r="N2" s="253"/>
      <c r="O2" s="253"/>
      <c r="P2" s="252"/>
      <c r="Q2" s="253"/>
      <c r="R2" s="253"/>
      <c r="S2" s="253"/>
      <c r="T2" s="253"/>
      <c r="U2" s="253"/>
      <c r="V2" s="253"/>
      <c r="W2" s="253"/>
      <c r="X2" s="253"/>
      <c r="Y2" s="126"/>
      <c r="Z2" s="252" t="s">
        <v>675</v>
      </c>
      <c r="AA2" s="253"/>
      <c r="AB2" s="253"/>
      <c r="AC2" s="253"/>
      <c r="AD2" s="252"/>
      <c r="AE2" s="253"/>
      <c r="AF2" s="253"/>
      <c r="AG2" s="253"/>
      <c r="AH2" s="253"/>
      <c r="AI2" s="253"/>
      <c r="AJ2" s="253"/>
      <c r="AK2" s="253"/>
      <c r="AL2" s="253"/>
      <c r="AM2" s="126"/>
      <c r="AN2" s="252" t="s">
        <v>1197</v>
      </c>
      <c r="AO2" s="253"/>
      <c r="AP2" s="253"/>
      <c r="AQ2" s="253"/>
      <c r="AR2" s="252"/>
      <c r="AS2" s="253"/>
      <c r="AT2" s="253"/>
      <c r="AU2" s="253"/>
      <c r="AV2" s="253"/>
      <c r="AW2" s="253"/>
      <c r="AX2" s="253"/>
      <c r="AY2" s="253"/>
      <c r="AZ2" s="253"/>
      <c r="BA2" s="250"/>
      <c r="BB2" s="250"/>
      <c r="BC2" s="84"/>
      <c r="BD2" s="84"/>
      <c r="BE2" s="84"/>
      <c r="BF2" s="171"/>
      <c r="BG2" s="172"/>
      <c r="BH2" s="84"/>
      <c r="BI2" s="84"/>
      <c r="BJ2" s="173" t="s">
        <v>670</v>
      </c>
      <c r="BK2" s="130">
        <v>16500</v>
      </c>
      <c r="BL2" s="172"/>
      <c r="BM2" s="96"/>
      <c r="BN2" s="84"/>
      <c r="BO2" s="172"/>
      <c r="BP2" s="84"/>
    </row>
    <row r="3" spans="1:72" s="177" customFormat="1" ht="54.75" customHeight="1" x14ac:dyDescent="0.35">
      <c r="A3" s="254" t="s">
        <v>127</v>
      </c>
      <c r="B3" s="254" t="s">
        <v>12</v>
      </c>
      <c r="C3" s="254" t="s">
        <v>259</v>
      </c>
      <c r="D3" s="255" t="s">
        <v>262</v>
      </c>
      <c r="E3" s="254" t="s">
        <v>263</v>
      </c>
      <c r="F3" s="254" t="s">
        <v>32</v>
      </c>
      <c r="G3" s="254" t="s">
        <v>223</v>
      </c>
      <c r="H3" s="254" t="s">
        <v>28</v>
      </c>
      <c r="I3" s="254" t="s">
        <v>225</v>
      </c>
      <c r="J3" s="256" t="s">
        <v>556</v>
      </c>
      <c r="K3" s="257" t="s">
        <v>557</v>
      </c>
      <c r="L3" s="254" t="s">
        <v>587</v>
      </c>
      <c r="M3" s="254" t="s">
        <v>588</v>
      </c>
      <c r="N3" s="254" t="s">
        <v>589</v>
      </c>
      <c r="O3" s="254" t="s">
        <v>590</v>
      </c>
      <c r="P3" s="254" t="s">
        <v>591</v>
      </c>
      <c r="Q3" s="254" t="s">
        <v>592</v>
      </c>
      <c r="R3" s="254" t="s">
        <v>593</v>
      </c>
      <c r="S3" s="254" t="s">
        <v>594</v>
      </c>
      <c r="T3" s="254" t="s">
        <v>595</v>
      </c>
      <c r="U3" s="254" t="s">
        <v>596</v>
      </c>
      <c r="V3" s="254" t="s">
        <v>597</v>
      </c>
      <c r="W3" s="254" t="s">
        <v>598</v>
      </c>
      <c r="X3" s="254" t="s">
        <v>599</v>
      </c>
      <c r="Y3" s="258"/>
      <c r="Z3" s="254" t="s">
        <v>587</v>
      </c>
      <c r="AA3" s="254" t="s">
        <v>588</v>
      </c>
      <c r="AB3" s="254" t="s">
        <v>589</v>
      </c>
      <c r="AC3" s="254" t="s">
        <v>590</v>
      </c>
      <c r="AD3" s="254" t="s">
        <v>591</v>
      </c>
      <c r="AE3" s="254" t="s">
        <v>592</v>
      </c>
      <c r="AF3" s="254" t="s">
        <v>593</v>
      </c>
      <c r="AG3" s="254" t="s">
        <v>594</v>
      </c>
      <c r="AH3" s="254" t="s">
        <v>595</v>
      </c>
      <c r="AI3" s="254" t="s">
        <v>596</v>
      </c>
      <c r="AJ3" s="254" t="s">
        <v>597</v>
      </c>
      <c r="AK3" s="254" t="s">
        <v>598</v>
      </c>
      <c r="AL3" s="254" t="s">
        <v>542</v>
      </c>
      <c r="AM3" s="259"/>
      <c r="AN3" s="254" t="s">
        <v>587</v>
      </c>
      <c r="AO3" s="254" t="s">
        <v>588</v>
      </c>
      <c r="AP3" s="254" t="s">
        <v>589</v>
      </c>
      <c r="AQ3" s="254" t="s">
        <v>590</v>
      </c>
      <c r="AR3" s="254" t="s">
        <v>591</v>
      </c>
      <c r="AS3" s="254" t="s">
        <v>592</v>
      </c>
      <c r="AT3" s="254" t="s">
        <v>593</v>
      </c>
      <c r="AU3" s="254" t="s">
        <v>594</v>
      </c>
      <c r="AV3" s="254" t="s">
        <v>595</v>
      </c>
      <c r="AW3" s="254" t="s">
        <v>596</v>
      </c>
      <c r="AX3" s="254" t="s">
        <v>597</v>
      </c>
      <c r="AY3" s="254" t="s">
        <v>598</v>
      </c>
      <c r="AZ3" s="254" t="s">
        <v>542</v>
      </c>
      <c r="BA3" s="254" t="s">
        <v>286</v>
      </c>
      <c r="BB3" s="254" t="s">
        <v>462</v>
      </c>
      <c r="BC3" s="175" t="s">
        <v>463</v>
      </c>
      <c r="BD3" s="168" t="s">
        <v>558</v>
      </c>
      <c r="BE3" s="168" t="s">
        <v>313</v>
      </c>
      <c r="BF3" s="168" t="s">
        <v>314</v>
      </c>
      <c r="BG3" s="167" t="s">
        <v>427</v>
      </c>
      <c r="BH3" s="168" t="s">
        <v>312</v>
      </c>
      <c r="BI3" s="168" t="s">
        <v>316</v>
      </c>
      <c r="BJ3" s="168" t="s">
        <v>440</v>
      </c>
      <c r="BK3" s="168" t="s">
        <v>559</v>
      </c>
      <c r="BL3" s="168" t="s">
        <v>560</v>
      </c>
      <c r="BM3" s="168" t="s">
        <v>561</v>
      </c>
      <c r="BN3" s="168" t="s">
        <v>562</v>
      </c>
      <c r="BO3" s="168" t="s">
        <v>600</v>
      </c>
      <c r="BP3" s="176" t="s">
        <v>671</v>
      </c>
      <c r="BQ3" s="260" t="s">
        <v>1188</v>
      </c>
      <c r="BR3" s="205" t="s">
        <v>1175</v>
      </c>
      <c r="BS3" s="205" t="s">
        <v>1176</v>
      </c>
      <c r="BT3" s="205" t="s">
        <v>291</v>
      </c>
    </row>
    <row r="4" spans="1:72" s="201" customFormat="1" ht="14.15" customHeight="1" x14ac:dyDescent="0.35">
      <c r="A4" s="178" t="str">
        <f>IF(D4="","",Cover!$D$8)</f>
        <v>Legal &amp; Compliance</v>
      </c>
      <c r="B4" s="132" t="str">
        <f>IF(D4="","",IFERROR(VLOOKUP(G4,'Master Data'!$E$59:$J$144,6,FALSE),0))</f>
        <v>General Counsel</v>
      </c>
      <c r="C4" s="298" t="str">
        <f>IF(D4="","",_xlfn.XLOOKUP(D4,'Activity Master Opex'!C:C,'Activity Master Opex'!B:B,0,0,1))</f>
        <v>CL001-00014</v>
      </c>
      <c r="D4" s="180" t="s">
        <v>454</v>
      </c>
      <c r="E4" s="289">
        <f>IF(D4="","",IFERROR(VLOOKUP(D4,'Activity Master Opex'!$C:$M,6,FALSE),""))</f>
        <v>0</v>
      </c>
      <c r="F4" s="181" t="str">
        <f>IF($C4="","",VLOOKUP($C4,'Activity Master Opex'!$B:$I,3,0))</f>
        <v>10301CL001</v>
      </c>
      <c r="G4" s="179" t="str">
        <f>IF($C4="","",VLOOKUP($F4,'Master Data'!$D$59:$E$144,2,FALSE))</f>
        <v>CORPORATE LEGAL &amp; COMPLIANCE</v>
      </c>
      <c r="H4" s="182">
        <f>IF($C4="","",VLOOKUP($C4,'Activity Master Opex'!$B:$I,5,0))</f>
        <v>62200020</v>
      </c>
      <c r="I4" s="178" t="str">
        <f>IFERROR(VLOOKUP(H4,'Activity Master Opex'!F:G,2,FALSE),"")</f>
        <v>Printing and Supplies Expenses</v>
      </c>
      <c r="J4" s="183">
        <f>200*15500</f>
        <v>3100000</v>
      </c>
      <c r="K4" s="183">
        <v>0</v>
      </c>
      <c r="L4" s="184"/>
      <c r="M4" s="184"/>
      <c r="N4" s="184"/>
      <c r="O4" s="184"/>
      <c r="P4" s="184"/>
      <c r="Q4" s="184"/>
      <c r="R4" s="184"/>
      <c r="S4" s="184"/>
      <c r="T4" s="184"/>
      <c r="U4" s="184"/>
      <c r="V4" s="184"/>
      <c r="W4" s="184"/>
      <c r="X4" s="185">
        <f>SUM(L4:W4)</f>
        <v>0</v>
      </c>
      <c r="Y4" s="186"/>
      <c r="Z4" s="142"/>
      <c r="AA4" s="142"/>
      <c r="AB4" s="142"/>
      <c r="AC4" s="142"/>
      <c r="AD4" s="142"/>
      <c r="AE4" s="142"/>
      <c r="AF4" s="142"/>
      <c r="AG4" s="142"/>
      <c r="AH4" s="142"/>
      <c r="AI4" s="142"/>
      <c r="AJ4" s="142"/>
      <c r="AK4" s="142"/>
      <c r="AL4" s="187">
        <f t="shared" ref="AL4:AL64" si="0">SUM(Z4:AK4)</f>
        <v>0</v>
      </c>
      <c r="AM4" s="188"/>
      <c r="AN4" s="142"/>
      <c r="AO4" s="142"/>
      <c r="AP4" s="142"/>
      <c r="AQ4" s="142"/>
      <c r="AR4" s="142"/>
      <c r="AS4" s="142"/>
      <c r="AT4" s="142"/>
      <c r="AU4" s="142"/>
      <c r="AV4" s="142"/>
      <c r="AW4" s="142"/>
      <c r="AX4" s="142"/>
      <c r="AY4" s="142"/>
      <c r="AZ4" s="187">
        <f t="shared" ref="AZ4:AZ64" si="1">SUM(AN4:AY4)</f>
        <v>0</v>
      </c>
      <c r="BA4" s="189">
        <f t="shared" ref="BA4:BA64" si="2">X4-J4</f>
        <v>-3100000</v>
      </c>
      <c r="BB4" s="190"/>
      <c r="BC4" s="191">
        <f t="shared" ref="BC4:BC64" si="3">X4-BO4</f>
        <v>0</v>
      </c>
      <c r="BD4" s="192" t="str">
        <f>IF('Budget Opex Detail'!C4="","",IF(COUNTIFS('Activity Master Opex'!$B$4:$B$64,'Budget Opex Detail'!$C4)&gt;0,"","New Activity"))</f>
        <v/>
      </c>
      <c r="BE4" s="193"/>
      <c r="BF4" s="194"/>
      <c r="BG4" s="195"/>
      <c r="BH4" s="196"/>
      <c r="BI4" s="197"/>
      <c r="BJ4" s="197"/>
      <c r="BK4" s="198"/>
      <c r="BL4" s="147">
        <f>IF(BJ4="USD",BK4*$BK$2,IF(BJ4="IDR",BK4,0))</f>
        <v>0</v>
      </c>
      <c r="BM4" s="196"/>
      <c r="BN4" s="196"/>
      <c r="BO4" s="199">
        <f t="shared" ref="BO4:BO64" si="4">BL4+BN4</f>
        <v>0</v>
      </c>
      <c r="BP4" s="200"/>
      <c r="BR4" s="202" t="str">
        <f>IF($H4="","",VLOOKUP($H4,'Master Data'!$B:$D,3,FALSE))</f>
        <v>Stationery &amp; Supplies Expe</v>
      </c>
      <c r="BS4" s="202" t="str">
        <f t="shared" ref="BS4" si="5">IF(C4="","",IF($A4&lt;&gt;"human resources",IF(LEFT(F4,6)="10301S","Selling","General Administrative"),IFERROR(IF(FIND("Selling",D4)&gt;0,"Selling","General Administrative"),"General Administrative")))</f>
        <v>General Administrative</v>
      </c>
      <c r="BT4" s="202" t="str">
        <f>IF($H4="","",VLOOKUP(VALUE($H4),'Master Data'!B:I,8,FALSE))</f>
        <v>Stationery and supplies</v>
      </c>
    </row>
    <row r="5" spans="1:72" s="201" customFormat="1" x14ac:dyDescent="0.35">
      <c r="A5" s="178" t="str">
        <f>IF(D5="","",Cover!$D$8)</f>
        <v>Legal &amp; Compliance</v>
      </c>
      <c r="B5" s="132" t="str">
        <f>IF(D5="","",IFERROR(VLOOKUP(G5,'Master Data'!$E$59:$J$144,6,FALSE),0))</f>
        <v>General Counsel</v>
      </c>
      <c r="C5" s="298" t="str">
        <f>IF(D5="","",_xlfn.XLOOKUP(D5,'Activity Master Opex'!C:C,'Activity Master Opex'!B:B,0,0,1))</f>
        <v>CL001-00013</v>
      </c>
      <c r="D5" s="180" t="s">
        <v>87</v>
      </c>
      <c r="E5" s="289">
        <f>IF(D5="","",IFERROR(VLOOKUP(D5,'Activity Master Opex'!$C:$M,6,FALSE),0))</f>
        <v>0</v>
      </c>
      <c r="F5" s="181" t="str">
        <f>IF($C5="","",VLOOKUP($C5,'Activity Master Opex'!$B:$I,3,0))</f>
        <v>10301CL001</v>
      </c>
      <c r="G5" s="179" t="str">
        <f>IF($C5="","",VLOOKUP($F5,'Master Data'!$D$59:$E$144,2,FALSE))</f>
        <v>CORPORATE LEGAL &amp; COMPLIANCE</v>
      </c>
      <c r="H5" s="182">
        <f>IF($C5="","",VLOOKUP($C5,'Activity Master Opex'!$B:$I,5,0))</f>
        <v>61800030</v>
      </c>
      <c r="I5" s="178" t="str">
        <f>IFERROR(VLOOKUP(H5,'Activity Master Opex'!F:G,2,FALSE),"")</f>
        <v>PT Exp. - Stamp Duty</v>
      </c>
      <c r="J5" s="183">
        <f>33*15500</f>
        <v>511500</v>
      </c>
      <c r="K5" s="183">
        <v>0</v>
      </c>
      <c r="L5" s="184"/>
      <c r="M5" s="184"/>
      <c r="N5" s="184"/>
      <c r="O5" s="184"/>
      <c r="P5" s="184"/>
      <c r="Q5" s="184"/>
      <c r="R5" s="184"/>
      <c r="S5" s="184"/>
      <c r="T5" s="184"/>
      <c r="U5" s="184"/>
      <c r="V5" s="184"/>
      <c r="W5" s="184"/>
      <c r="X5" s="185">
        <f>SUM(L5:W5)</f>
        <v>0</v>
      </c>
      <c r="Y5" s="186"/>
      <c r="Z5" s="142"/>
      <c r="AA5" s="142"/>
      <c r="AB5" s="142"/>
      <c r="AC5" s="142"/>
      <c r="AD5" s="142"/>
      <c r="AE5" s="142"/>
      <c r="AF5" s="142"/>
      <c r="AG5" s="142"/>
      <c r="AH5" s="142"/>
      <c r="AI5" s="142"/>
      <c r="AJ5" s="142"/>
      <c r="AK5" s="142"/>
      <c r="AL5" s="187">
        <f t="shared" si="0"/>
        <v>0</v>
      </c>
      <c r="AM5" s="188"/>
      <c r="AN5" s="142"/>
      <c r="AO5" s="142"/>
      <c r="AP5" s="142"/>
      <c r="AQ5" s="142"/>
      <c r="AR5" s="142"/>
      <c r="AS5" s="142"/>
      <c r="AT5" s="142"/>
      <c r="AU5" s="142"/>
      <c r="AV5" s="142"/>
      <c r="AW5" s="142"/>
      <c r="AX5" s="142"/>
      <c r="AY5" s="142"/>
      <c r="AZ5" s="187">
        <f t="shared" si="1"/>
        <v>0</v>
      </c>
      <c r="BA5" s="189">
        <f t="shared" si="2"/>
        <v>-511500</v>
      </c>
      <c r="BB5" s="190"/>
      <c r="BC5" s="191">
        <f t="shared" si="3"/>
        <v>0</v>
      </c>
      <c r="BD5" s="192" t="str">
        <f>IF('Budget Opex Detail'!C5="","",IF(COUNTIFS('Activity Master Opex'!$B$4:$B$64,'Budget Opex Detail'!$C5)&gt;0,"","New Activity"))</f>
        <v/>
      </c>
      <c r="BE5" s="193"/>
      <c r="BF5" s="194"/>
      <c r="BG5" s="195"/>
      <c r="BH5" s="196"/>
      <c r="BI5" s="197"/>
      <c r="BJ5" s="197"/>
      <c r="BK5" s="198"/>
      <c r="BL5" s="147">
        <f t="shared" ref="BL5:BL64" si="6">IF(BJ5="USD",BK5*$BK$2,IF(BJ5="IDR",BK5,0))</f>
        <v>0</v>
      </c>
      <c r="BM5" s="196"/>
      <c r="BN5" s="196"/>
      <c r="BO5" s="199">
        <f t="shared" si="4"/>
        <v>0</v>
      </c>
      <c r="BP5" s="200"/>
      <c r="BR5" s="202" t="str">
        <f>IF($H5="","",VLOOKUP($H5,'Master Data'!$B:$D,3,FALSE))</f>
        <v>Postage &amp; Telecom E</v>
      </c>
      <c r="BS5" s="202" t="str">
        <f t="shared" ref="BS5:BS64" si="7">IF(C5="","",IF($A5&lt;&gt;"human resources",IF(LEFT(F5,6)="10301S","Selling","General Administrative"),IFERROR(IF(FIND("Selling",D5)&gt;0,"Selling","General Administrative"),"General Administrative")))</f>
        <v>General Administrative</v>
      </c>
      <c r="BT5" s="202" t="str">
        <f>IF($H5="","",VLOOKUP(VALUE($H5),'Master Data'!B:I,8,FALSE))</f>
        <v>Postage and telecomunication</v>
      </c>
    </row>
    <row r="6" spans="1:72" s="201" customFormat="1" x14ac:dyDescent="0.35">
      <c r="A6" s="178" t="str">
        <f>IF(D6="","",Cover!$D$8)</f>
        <v>Legal &amp; Compliance</v>
      </c>
      <c r="B6" s="132" t="str">
        <f>IF(D6="","",IFERROR(VLOOKUP(G6,'Master Data'!$E$59:$J$144,6,FALSE),0))</f>
        <v>Permit &amp; Licensing</v>
      </c>
      <c r="C6" s="298" t="str">
        <f>IF(D6="","",_xlfn.XLOOKUP(D6,'Activity Master Opex'!C:C,'Activity Master Opex'!B:B,0,0,1))</f>
        <v>MS008-00017</v>
      </c>
      <c r="D6" s="180" t="s">
        <v>465</v>
      </c>
      <c r="E6" s="289">
        <f>IF(D6="","",IFERROR(VLOOKUP(D6,'Activity Master Opex'!$C:$M,6,FALSE),0))</f>
        <v>0</v>
      </c>
      <c r="F6" s="181" t="str">
        <f>IF($C6="","",VLOOKUP($C6,'Activity Master Opex'!$B:$I,3,0))</f>
        <v>10301MS008</v>
      </c>
      <c r="G6" s="179" t="str">
        <f>IF($C6="","",VLOOKUP($F6,'Master Data'!$D$59:$E$144,2,FALSE))</f>
        <v>LICENSES &amp; PERMITS</v>
      </c>
      <c r="H6" s="182">
        <f>IF($C6="","",VLOOKUP($C6,'Activity Master Opex'!$B:$I,5,0))</f>
        <v>61900090</v>
      </c>
      <c r="I6" s="178" t="str">
        <f>IFERROR(VLOOKUP(H6,'Activity Master Opex'!F:G,2,FALSE),"")</f>
        <v>PF - Other Professional Fees</v>
      </c>
      <c r="J6" s="183">
        <f>6870.96774193548*15500</f>
        <v>106499999.99999994</v>
      </c>
      <c r="K6" s="183">
        <v>0</v>
      </c>
      <c r="L6" s="184"/>
      <c r="M6" s="184"/>
      <c r="N6" s="184"/>
      <c r="O6" s="184"/>
      <c r="P6" s="184"/>
      <c r="Q6" s="184"/>
      <c r="R6" s="184"/>
      <c r="S6" s="184"/>
      <c r="T6" s="184"/>
      <c r="U6" s="184"/>
      <c r="V6" s="184"/>
      <c r="W6" s="184"/>
      <c r="X6" s="185">
        <f>SUM(L6:W6)</f>
        <v>0</v>
      </c>
      <c r="Y6" s="186"/>
      <c r="Z6" s="142"/>
      <c r="AA6" s="142"/>
      <c r="AB6" s="142"/>
      <c r="AC6" s="142"/>
      <c r="AD6" s="142"/>
      <c r="AE6" s="142"/>
      <c r="AF6" s="142"/>
      <c r="AG6" s="142"/>
      <c r="AH6" s="142"/>
      <c r="AI6" s="142"/>
      <c r="AJ6" s="142"/>
      <c r="AK6" s="142"/>
      <c r="AL6" s="187">
        <f t="shared" si="0"/>
        <v>0</v>
      </c>
      <c r="AM6" s="188"/>
      <c r="AN6" s="142"/>
      <c r="AO6" s="142"/>
      <c r="AP6" s="142"/>
      <c r="AQ6" s="142"/>
      <c r="AR6" s="142"/>
      <c r="AS6" s="142"/>
      <c r="AT6" s="142"/>
      <c r="AU6" s="142"/>
      <c r="AV6" s="142"/>
      <c r="AW6" s="142"/>
      <c r="AX6" s="142"/>
      <c r="AY6" s="142"/>
      <c r="AZ6" s="187">
        <f t="shared" si="1"/>
        <v>0</v>
      </c>
      <c r="BA6" s="189">
        <f t="shared" si="2"/>
        <v>-106499999.99999994</v>
      </c>
      <c r="BB6" s="190"/>
      <c r="BC6" s="191">
        <f t="shared" si="3"/>
        <v>0</v>
      </c>
      <c r="BD6" s="192" t="str">
        <f>IF('Budget Opex Detail'!C6="","",IF(COUNTIFS('Activity Master Opex'!$B$4:$B$64,'Budget Opex Detail'!$C6)&gt;0,"","New Activity"))</f>
        <v/>
      </c>
      <c r="BE6" s="193"/>
      <c r="BF6" s="194"/>
      <c r="BG6" s="195"/>
      <c r="BH6" s="196"/>
      <c r="BI6" s="197"/>
      <c r="BJ6" s="197"/>
      <c r="BK6" s="198"/>
      <c r="BL6" s="147">
        <f t="shared" si="6"/>
        <v>0</v>
      </c>
      <c r="BM6" s="196"/>
      <c r="BN6" s="196"/>
      <c r="BO6" s="199">
        <f t="shared" si="4"/>
        <v>0</v>
      </c>
      <c r="BP6" s="200"/>
      <c r="BR6" s="202" t="str">
        <f>IF($H6="","",VLOOKUP($H6,'Master Data'!$B:$D,3,FALSE))</f>
        <v>Professional Fees</v>
      </c>
      <c r="BS6" s="202" t="str">
        <f t="shared" si="7"/>
        <v>General Administrative</v>
      </c>
      <c r="BT6" s="202" t="str">
        <f>IF($H6="","",VLOOKUP(VALUE($H6),'Master Data'!B:I,8,FALSE))</f>
        <v>Professional fees</v>
      </c>
    </row>
    <row r="7" spans="1:72" s="201" customFormat="1" x14ac:dyDescent="0.35">
      <c r="A7" s="178" t="str">
        <f>IF(D7="","",Cover!$D$8)</f>
        <v>Legal &amp; Compliance</v>
      </c>
      <c r="B7" s="132" t="str">
        <f>IF(D7="","",IFERROR(VLOOKUP(G7,'Master Data'!$E$59:$J$144,6,FALSE),0))</f>
        <v>Permit &amp; Licensing</v>
      </c>
      <c r="C7" s="298" t="str">
        <f>IF(D7="","",_xlfn.XLOOKUP(D7,'Activity Master Opex'!C:C,'Activity Master Opex'!B:B,0,0,1))</f>
        <v>MS008-00003</v>
      </c>
      <c r="D7" s="180" t="s">
        <v>467</v>
      </c>
      <c r="E7" s="289" t="str">
        <f>IF(D7="","",IFERROR(VLOOKUP(D7,'Activity Master Opex'!$C:$M,6,FALSE),0))</f>
        <v>Hampers to partners, clients, or stakeholders is to express goodwill and appreciation for their collaboration and support in various activities</v>
      </c>
      <c r="F7" s="181" t="str">
        <f>IF($C7="","",VLOOKUP($C7,'Activity Master Opex'!$B:$I,3,0))</f>
        <v>10301MS008</v>
      </c>
      <c r="G7" s="179" t="str">
        <f>IF($C7="","",VLOOKUP($F7,'Master Data'!$D$59:$E$144,2,FALSE))</f>
        <v>LICENSES &amp; PERMITS</v>
      </c>
      <c r="H7" s="182">
        <f>IF($C7="","",VLOOKUP($C7,'Activity Master Opex'!$B:$I,5,0))</f>
        <v>62000040</v>
      </c>
      <c r="I7" s="178" t="str">
        <f>IFERROR(VLOOKUP(H7,'Activity Master Opex'!F:G,2,FALSE),"")</f>
        <v>Ent. Exp - Others Entertainment</v>
      </c>
      <c r="J7" s="183">
        <f>14780.52*15500</f>
        <v>229098060</v>
      </c>
      <c r="K7" s="183">
        <v>960000</v>
      </c>
      <c r="L7" s="184"/>
      <c r="M7" s="184"/>
      <c r="N7" s="184"/>
      <c r="O7" s="184"/>
      <c r="P7" s="184"/>
      <c r="Q7" s="184"/>
      <c r="R7" s="184"/>
      <c r="S7" s="184"/>
      <c r="T7" s="184"/>
      <c r="U7" s="184"/>
      <c r="V7" s="184"/>
      <c r="W7" s="184"/>
      <c r="X7" s="185">
        <f>SUM(L7:W7)</f>
        <v>0</v>
      </c>
      <c r="Y7" s="186"/>
      <c r="Z7" s="142"/>
      <c r="AA7" s="142"/>
      <c r="AB7" s="142"/>
      <c r="AC7" s="142"/>
      <c r="AD7" s="142"/>
      <c r="AE7" s="142"/>
      <c r="AF7" s="142"/>
      <c r="AG7" s="142"/>
      <c r="AH7" s="142"/>
      <c r="AI7" s="142"/>
      <c r="AJ7" s="142"/>
      <c r="AK7" s="142"/>
      <c r="AL7" s="187">
        <f t="shared" si="0"/>
        <v>0</v>
      </c>
      <c r="AM7" s="188"/>
      <c r="AN7" s="142"/>
      <c r="AO7" s="142"/>
      <c r="AP7" s="142"/>
      <c r="AQ7" s="142"/>
      <c r="AR7" s="142"/>
      <c r="AS7" s="142"/>
      <c r="AT7" s="142"/>
      <c r="AU7" s="142"/>
      <c r="AV7" s="142"/>
      <c r="AW7" s="142"/>
      <c r="AX7" s="142"/>
      <c r="AY7" s="142"/>
      <c r="AZ7" s="187">
        <f t="shared" si="1"/>
        <v>0</v>
      </c>
      <c r="BA7" s="189">
        <f t="shared" si="2"/>
        <v>-229098060</v>
      </c>
      <c r="BB7" s="190"/>
      <c r="BC7" s="191">
        <f t="shared" si="3"/>
        <v>0</v>
      </c>
      <c r="BD7" s="192" t="str">
        <f>IF('Budget Opex Detail'!C7="","",IF(COUNTIFS('Activity Master Opex'!$B$4:$B$64,'Budget Opex Detail'!$C7)&gt;0,"","New Activity"))</f>
        <v/>
      </c>
      <c r="BE7" s="193"/>
      <c r="BF7" s="194"/>
      <c r="BG7" s="195"/>
      <c r="BH7" s="196"/>
      <c r="BI7" s="197"/>
      <c r="BJ7" s="197"/>
      <c r="BK7" s="198"/>
      <c r="BL7" s="147">
        <f t="shared" si="6"/>
        <v>0</v>
      </c>
      <c r="BM7" s="196"/>
      <c r="BN7" s="196"/>
      <c r="BO7" s="199">
        <f t="shared" si="4"/>
        <v>0</v>
      </c>
      <c r="BP7" s="200"/>
      <c r="BR7" s="202" t="str">
        <f>IF($H7="","",VLOOKUP($H7,'Master Data'!$B:$D,3,FALSE))</f>
        <v>Entertainment Expenses</v>
      </c>
      <c r="BS7" s="202" t="str">
        <f t="shared" si="7"/>
        <v>General Administrative</v>
      </c>
      <c r="BT7" s="202" t="str">
        <f>IF($H7="","",VLOOKUP(VALUE($H7),'Master Data'!B:I,8,FALSE))</f>
        <v xml:space="preserve">Entertainment </v>
      </c>
    </row>
    <row r="8" spans="1:72" s="201" customFormat="1" x14ac:dyDescent="0.35">
      <c r="A8" s="178" t="str">
        <f>IF(D8="","",Cover!$D$8)</f>
        <v>Legal &amp; Compliance</v>
      </c>
      <c r="B8" s="132" t="str">
        <f>IF(D8="","",IFERROR(VLOOKUP(G8,'Master Data'!$E$59:$J$144,6,FALSE),0))</f>
        <v>Permit &amp; Licensing</v>
      </c>
      <c r="C8" s="298" t="str">
        <f>IF(D8="","",_xlfn.XLOOKUP(D8,'Activity Master Opex'!C:C,'Activity Master Opex'!B:B,0,0,1))</f>
        <v>MS008-00008</v>
      </c>
      <c r="D8" s="180" t="s">
        <v>477</v>
      </c>
      <c r="E8" s="289">
        <f>IF(D8="","",IFERROR(VLOOKUP(D8,'Activity Master Opex'!$C:$M,6,FALSE),0))</f>
        <v>0</v>
      </c>
      <c r="F8" s="181" t="str">
        <f>IF($C8="","",VLOOKUP($C8,'Activity Master Opex'!$B:$I,3,0))</f>
        <v>10301MS008</v>
      </c>
      <c r="G8" s="179" t="str">
        <f>IF($C8="","",VLOOKUP($F8,'Master Data'!$D$59:$E$144,2,FALSE))</f>
        <v>LICENSES &amp; PERMITS</v>
      </c>
      <c r="H8" s="182">
        <f>IF($C8="","",VLOOKUP($C8,'Activity Master Opex'!$B:$I,5,0))</f>
        <v>62100030</v>
      </c>
      <c r="I8" s="178" t="str">
        <f>IFERROR(VLOOKUP(H8,'Activity Master Opex'!F:G,2,FALSE),"")</f>
        <v>TL - Restribution</v>
      </c>
      <c r="J8" s="183">
        <f>3871*15500</f>
        <v>60000500</v>
      </c>
      <c r="K8" s="183">
        <v>0</v>
      </c>
      <c r="L8" s="184"/>
      <c r="M8" s="184"/>
      <c r="N8" s="184"/>
      <c r="O8" s="184"/>
      <c r="P8" s="184"/>
      <c r="Q8" s="184"/>
      <c r="R8" s="184"/>
      <c r="S8" s="184"/>
      <c r="T8" s="184"/>
      <c r="U8" s="184"/>
      <c r="V8" s="184"/>
      <c r="W8" s="184"/>
      <c r="X8" s="185">
        <f t="shared" ref="X8:X10" si="8">SUM(L8:W8)</f>
        <v>0</v>
      </c>
      <c r="Y8" s="186"/>
      <c r="Z8" s="142"/>
      <c r="AA8" s="142"/>
      <c r="AB8" s="142"/>
      <c r="AC8" s="142"/>
      <c r="AD8" s="142"/>
      <c r="AE8" s="142"/>
      <c r="AF8" s="142"/>
      <c r="AG8" s="142"/>
      <c r="AH8" s="142"/>
      <c r="AI8" s="142"/>
      <c r="AJ8" s="142"/>
      <c r="AK8" s="142"/>
      <c r="AL8" s="187">
        <f t="shared" si="0"/>
        <v>0</v>
      </c>
      <c r="AM8" s="188"/>
      <c r="AN8" s="142"/>
      <c r="AO8" s="142"/>
      <c r="AP8" s="142"/>
      <c r="AQ8" s="142"/>
      <c r="AR8" s="142"/>
      <c r="AS8" s="142"/>
      <c r="AT8" s="142"/>
      <c r="AU8" s="142"/>
      <c r="AV8" s="142"/>
      <c r="AW8" s="142"/>
      <c r="AX8" s="142"/>
      <c r="AY8" s="142"/>
      <c r="AZ8" s="187">
        <f t="shared" si="1"/>
        <v>0</v>
      </c>
      <c r="BA8" s="189">
        <f t="shared" si="2"/>
        <v>-60000500</v>
      </c>
      <c r="BB8" s="190"/>
      <c r="BC8" s="191">
        <f t="shared" si="3"/>
        <v>0</v>
      </c>
      <c r="BD8" s="192" t="str">
        <f>IF('Budget Opex Detail'!C8="","",IF(COUNTIFS('Activity Master Opex'!$B$4:$B$64,'Budget Opex Detail'!$C8)&gt;0,"","New Activity"))</f>
        <v/>
      </c>
      <c r="BE8" s="193"/>
      <c r="BF8" s="194"/>
      <c r="BG8" s="195"/>
      <c r="BH8" s="196"/>
      <c r="BI8" s="197"/>
      <c r="BJ8" s="197"/>
      <c r="BK8" s="198"/>
      <c r="BL8" s="147">
        <f t="shared" si="6"/>
        <v>0</v>
      </c>
      <c r="BM8" s="196"/>
      <c r="BN8" s="196"/>
      <c r="BO8" s="199">
        <f t="shared" si="4"/>
        <v>0</v>
      </c>
      <c r="BP8" s="200"/>
      <c r="BR8" s="202" t="str">
        <f>IF($H8="","",VLOOKUP($H8,'Master Data'!$B:$D,3,FALSE))</f>
        <v>Tax and Licenses Expenses</v>
      </c>
      <c r="BS8" s="202" t="str">
        <f t="shared" si="7"/>
        <v>General Administrative</v>
      </c>
      <c r="BT8" s="202" t="str">
        <f>IF($H8="","",VLOOKUP(VALUE($H8),'Master Data'!B:I,8,FALSE))</f>
        <v>Tax and license</v>
      </c>
    </row>
    <row r="9" spans="1:72" s="201" customFormat="1" x14ac:dyDescent="0.35">
      <c r="A9" s="178" t="str">
        <f>IF(D9="","",Cover!$D$8)</f>
        <v>Legal &amp; Compliance</v>
      </c>
      <c r="B9" s="132" t="str">
        <f>IF(D9="","",IFERROR(VLOOKUP(G9,'Master Data'!$E$59:$J$144,6,FALSE),0))</f>
        <v>Permit &amp; Licensing</v>
      </c>
      <c r="C9" s="298" t="str">
        <f>IF(D9="","",_xlfn.XLOOKUP(D9,'Activity Master Opex'!C:C,'Activity Master Opex'!B:B,0,0,1))</f>
        <v>MS008-00001</v>
      </c>
      <c r="D9" s="180" t="s">
        <v>479</v>
      </c>
      <c r="E9" s="289" t="str">
        <f>IF(D9="","",IFERROR(VLOOKUP(D9,'Activity Master Opex'!$C:$M,6,FALSE),0))</f>
        <v>Creating legal documents (legal opinions) for Anti-Dumping measures is to formally propose these measures to the KADI (Komite Anti-Dumping Indonesia)</v>
      </c>
      <c r="F9" s="181" t="str">
        <f>IF($C9="","",VLOOKUP($C9,'Activity Master Opex'!$B:$I,3,0))</f>
        <v>10301MS008</v>
      </c>
      <c r="G9" s="179" t="str">
        <f>IF($C9="","",VLOOKUP($F9,'Master Data'!$D$59:$E$144,2,FALSE))</f>
        <v>LICENSES &amp; PERMITS</v>
      </c>
      <c r="H9" s="182">
        <f>IF($C9="","",VLOOKUP($C9,'Activity Master Opex'!$B:$I,5,0))</f>
        <v>61900010</v>
      </c>
      <c r="I9" s="178" t="str">
        <f>IFERROR(VLOOKUP(H9,'Activity Master Opex'!F:G,2,FALSE),"")</f>
        <v>PF - Legal Fee</v>
      </c>
      <c r="J9" s="183">
        <f>64517*15500</f>
        <v>1000013500</v>
      </c>
      <c r="K9" s="183">
        <v>0</v>
      </c>
      <c r="L9" s="184"/>
      <c r="M9" s="184"/>
      <c r="N9" s="184"/>
      <c r="O9" s="184"/>
      <c r="P9" s="184"/>
      <c r="Q9" s="184"/>
      <c r="R9" s="184"/>
      <c r="S9" s="184"/>
      <c r="T9" s="184"/>
      <c r="U9" s="184"/>
      <c r="V9" s="184"/>
      <c r="W9" s="184"/>
      <c r="X9" s="185">
        <f t="shared" si="8"/>
        <v>0</v>
      </c>
      <c r="Y9" s="186"/>
      <c r="Z9" s="142"/>
      <c r="AA9" s="142"/>
      <c r="AB9" s="142"/>
      <c r="AC9" s="142"/>
      <c r="AD9" s="142"/>
      <c r="AE9" s="142"/>
      <c r="AF9" s="142"/>
      <c r="AG9" s="142"/>
      <c r="AH9" s="142"/>
      <c r="AI9" s="142"/>
      <c r="AJ9" s="142"/>
      <c r="AK9" s="142"/>
      <c r="AL9" s="187">
        <f t="shared" si="0"/>
        <v>0</v>
      </c>
      <c r="AM9" s="188"/>
      <c r="AN9" s="142"/>
      <c r="AO9" s="142"/>
      <c r="AP9" s="142"/>
      <c r="AQ9" s="142"/>
      <c r="AR9" s="142"/>
      <c r="AS9" s="142"/>
      <c r="AT9" s="142"/>
      <c r="AU9" s="142"/>
      <c r="AV9" s="142"/>
      <c r="AW9" s="142"/>
      <c r="AX9" s="142"/>
      <c r="AY9" s="142"/>
      <c r="AZ9" s="187">
        <f t="shared" si="1"/>
        <v>0</v>
      </c>
      <c r="BA9" s="189">
        <f t="shared" si="2"/>
        <v>-1000013500</v>
      </c>
      <c r="BB9" s="190"/>
      <c r="BC9" s="191">
        <f t="shared" si="3"/>
        <v>0</v>
      </c>
      <c r="BD9" s="192" t="str">
        <f>IF('Budget Opex Detail'!C9="","",IF(COUNTIFS('Activity Master Opex'!$B$4:$B$64,'Budget Opex Detail'!$C9)&gt;0,"","New Activity"))</f>
        <v/>
      </c>
      <c r="BE9" s="193"/>
      <c r="BF9" s="194"/>
      <c r="BG9" s="195"/>
      <c r="BH9" s="196"/>
      <c r="BI9" s="197"/>
      <c r="BJ9" s="197"/>
      <c r="BK9" s="198"/>
      <c r="BL9" s="147">
        <f t="shared" si="6"/>
        <v>0</v>
      </c>
      <c r="BM9" s="196"/>
      <c r="BN9" s="196"/>
      <c r="BO9" s="199">
        <f t="shared" si="4"/>
        <v>0</v>
      </c>
      <c r="BP9" s="200"/>
      <c r="BR9" s="202" t="str">
        <f>IF($H9="","",VLOOKUP($H9,'Master Data'!$B:$D,3,FALSE))</f>
        <v>Professional Fees</v>
      </c>
      <c r="BS9" s="202" t="str">
        <f t="shared" si="7"/>
        <v>General Administrative</v>
      </c>
      <c r="BT9" s="202" t="str">
        <f>IF($H9="","",VLOOKUP(VALUE($H9),'Master Data'!B:I,8,FALSE))</f>
        <v>Professional fees</v>
      </c>
    </row>
    <row r="10" spans="1:72" s="201" customFormat="1" x14ac:dyDescent="0.35">
      <c r="A10" s="178" t="str">
        <f>IF(D10="","",Cover!$D$8)</f>
        <v>Legal &amp; Compliance</v>
      </c>
      <c r="B10" s="132" t="str">
        <f>IF(D10="","",IFERROR(VLOOKUP(G10,'Master Data'!$E$59:$J$144,6,FALSE),0))</f>
        <v>Permit &amp; Licensing</v>
      </c>
      <c r="C10" s="298" t="str">
        <f>IF(D10="","",_xlfn.XLOOKUP(D10,'Activity Master Opex'!C:C,'Activity Master Opex'!B:B,0,0,1))</f>
        <v>MS008-00037</v>
      </c>
      <c r="D10" s="180" t="s">
        <v>483</v>
      </c>
      <c r="E10" s="289">
        <f>IF(D10="","",IFERROR(VLOOKUP(D10,'Activity Master Opex'!$C:$M,6,FALSE),0))</f>
        <v>0</v>
      </c>
      <c r="F10" s="181" t="str">
        <f>IF($C10="","",VLOOKUP($C10,'Activity Master Opex'!$B:$I,3,0))</f>
        <v>10301MS008</v>
      </c>
      <c r="G10" s="179" t="str">
        <f>IF($C10="","",VLOOKUP($F10,'Master Data'!$D$59:$E$144,2,FALSE))</f>
        <v>LICENSES &amp; PERMITS</v>
      </c>
      <c r="H10" s="182">
        <f>IF($C10="","",VLOOKUP($C10,'Activity Master Opex'!$B:$I,5,0))</f>
        <v>62300010</v>
      </c>
      <c r="I10" s="178" t="str">
        <f>IFERROR(VLOOKUP(H10,'Activity Master Opex'!F:G,2,FALSE),"")</f>
        <v>Meeting Expenses</v>
      </c>
      <c r="J10" s="183">
        <f>3241*15500</f>
        <v>50235500</v>
      </c>
      <c r="K10" s="183">
        <v>0</v>
      </c>
      <c r="L10" s="184"/>
      <c r="M10" s="184"/>
      <c r="N10" s="184"/>
      <c r="O10" s="184"/>
      <c r="P10" s="184"/>
      <c r="Q10" s="184"/>
      <c r="R10" s="184"/>
      <c r="S10" s="184"/>
      <c r="T10" s="184"/>
      <c r="U10" s="184"/>
      <c r="V10" s="184"/>
      <c r="W10" s="184"/>
      <c r="X10" s="185">
        <f t="shared" si="8"/>
        <v>0</v>
      </c>
      <c r="Y10" s="186"/>
      <c r="Z10" s="142"/>
      <c r="AA10" s="142"/>
      <c r="AB10" s="142"/>
      <c r="AC10" s="142"/>
      <c r="AD10" s="142"/>
      <c r="AE10" s="142"/>
      <c r="AF10" s="142"/>
      <c r="AG10" s="142"/>
      <c r="AH10" s="142"/>
      <c r="AI10" s="142"/>
      <c r="AJ10" s="142"/>
      <c r="AK10" s="142"/>
      <c r="AL10" s="187">
        <f t="shared" si="0"/>
        <v>0</v>
      </c>
      <c r="AM10" s="188"/>
      <c r="AN10" s="142"/>
      <c r="AO10" s="142"/>
      <c r="AP10" s="142"/>
      <c r="AQ10" s="142"/>
      <c r="AR10" s="142"/>
      <c r="AS10" s="142"/>
      <c r="AT10" s="142"/>
      <c r="AU10" s="142"/>
      <c r="AV10" s="142"/>
      <c r="AW10" s="142"/>
      <c r="AX10" s="142"/>
      <c r="AY10" s="142"/>
      <c r="AZ10" s="187">
        <f t="shared" si="1"/>
        <v>0</v>
      </c>
      <c r="BA10" s="189">
        <f t="shared" si="2"/>
        <v>-50235500</v>
      </c>
      <c r="BB10" s="190"/>
      <c r="BC10" s="191">
        <f t="shared" si="3"/>
        <v>0</v>
      </c>
      <c r="BD10" s="192" t="str">
        <f>IF('Budget Opex Detail'!C10="","",IF(COUNTIFS('Activity Master Opex'!$B$4:$B$64,'Budget Opex Detail'!$C10)&gt;0,"","New Activity"))</f>
        <v/>
      </c>
      <c r="BE10" s="193"/>
      <c r="BF10" s="194"/>
      <c r="BG10" s="195"/>
      <c r="BH10" s="196"/>
      <c r="BI10" s="197"/>
      <c r="BJ10" s="197"/>
      <c r="BK10" s="198"/>
      <c r="BL10" s="147">
        <f t="shared" si="6"/>
        <v>0</v>
      </c>
      <c r="BM10" s="196"/>
      <c r="BN10" s="196"/>
      <c r="BO10" s="199">
        <f t="shared" si="4"/>
        <v>0</v>
      </c>
      <c r="BP10" s="200"/>
      <c r="BR10" s="202" t="str">
        <f>IF($H10="","",VLOOKUP($H10,'Master Data'!$B:$D,3,FALSE))</f>
        <v>Meeting &amp; Ceremony Expense</v>
      </c>
      <c r="BS10" s="202" t="str">
        <f t="shared" si="7"/>
        <v>General Administrative</v>
      </c>
      <c r="BT10" s="202" t="str">
        <f>IF($H10="","",VLOOKUP(VALUE($H10),'Master Data'!B:I,8,FALSE))</f>
        <v>Meeting and ceremony</v>
      </c>
    </row>
    <row r="11" spans="1:72" s="201" customFormat="1" x14ac:dyDescent="0.35">
      <c r="A11" s="178" t="str">
        <f>IF(D11="","",Cover!$D$8)</f>
        <v>Legal &amp; Compliance</v>
      </c>
      <c r="B11" s="132" t="str">
        <f>IF(D11="","",IFERROR(VLOOKUP(G11,'Master Data'!$E$59:$J$144,6,FALSE),0))</f>
        <v>Permit &amp; Licensing</v>
      </c>
      <c r="C11" s="298" t="str">
        <f>IF(D11="","",_xlfn.XLOOKUP(D11,'Activity Master Opex'!C:C,'Activity Master Opex'!B:B,0,0,1))</f>
        <v>MS008-00006</v>
      </c>
      <c r="D11" s="180" t="s">
        <v>487</v>
      </c>
      <c r="E11" s="289">
        <f>IF(D11="","",IFERROR(VLOOKUP(D11,'Activity Master Opex'!$C:$M,6,FALSE),0))</f>
        <v>0</v>
      </c>
      <c r="F11" s="181" t="str">
        <f>IF($C11="","",VLOOKUP($C11,'Activity Master Opex'!$B:$I,3,0))</f>
        <v>10301MS008</v>
      </c>
      <c r="G11" s="179" t="str">
        <f>IF($C11="","",VLOOKUP($F11,'Master Data'!$D$59:$E$144,2,FALSE))</f>
        <v>LICENSES &amp; PERMITS</v>
      </c>
      <c r="H11" s="182">
        <f>IF($C11="","",VLOOKUP($C11,'Activity Master Opex'!$B:$I,5,0))</f>
        <v>62100030</v>
      </c>
      <c r="I11" s="178" t="str">
        <f>IFERROR(VLOOKUP(H11,'Activity Master Opex'!F:G,2,FALSE),"")</f>
        <v>TL - Restribution</v>
      </c>
      <c r="J11" s="203">
        <f>8900*15500</f>
        <v>137950000</v>
      </c>
      <c r="K11" s="183">
        <v>0</v>
      </c>
      <c r="L11" s="184"/>
      <c r="M11" s="184"/>
      <c r="N11" s="184"/>
      <c r="O11" s="184"/>
      <c r="P11" s="184"/>
      <c r="Q11" s="184"/>
      <c r="R11" s="184"/>
      <c r="S11" s="184"/>
      <c r="T11" s="184"/>
      <c r="U11" s="184"/>
      <c r="V11" s="184"/>
      <c r="W11" s="184"/>
      <c r="X11" s="185">
        <f t="shared" ref="X11:X64" si="9">SUM(L11:W11)</f>
        <v>0</v>
      </c>
      <c r="Y11" s="186"/>
      <c r="Z11" s="142"/>
      <c r="AA11" s="142"/>
      <c r="AB11" s="142"/>
      <c r="AC11" s="142"/>
      <c r="AD11" s="142"/>
      <c r="AE11" s="142"/>
      <c r="AF11" s="142"/>
      <c r="AG11" s="142"/>
      <c r="AH11" s="142"/>
      <c r="AI11" s="142"/>
      <c r="AJ11" s="142"/>
      <c r="AK11" s="142"/>
      <c r="AL11" s="187">
        <f t="shared" si="0"/>
        <v>0</v>
      </c>
      <c r="AM11" s="188"/>
      <c r="AN11" s="142"/>
      <c r="AO11" s="142"/>
      <c r="AP11" s="142"/>
      <c r="AQ11" s="142"/>
      <c r="AR11" s="142"/>
      <c r="AS11" s="142"/>
      <c r="AT11" s="142"/>
      <c r="AU11" s="142"/>
      <c r="AV11" s="142"/>
      <c r="AW11" s="142"/>
      <c r="AX11" s="142"/>
      <c r="AY11" s="142"/>
      <c r="AZ11" s="187">
        <f t="shared" si="1"/>
        <v>0</v>
      </c>
      <c r="BA11" s="189">
        <f t="shared" si="2"/>
        <v>-137950000</v>
      </c>
      <c r="BB11" s="190"/>
      <c r="BC11" s="191">
        <f t="shared" si="3"/>
        <v>0</v>
      </c>
      <c r="BD11" s="192" t="str">
        <f>IF('Budget Opex Detail'!C11="","",IF(COUNTIFS('Activity Master Opex'!$B$4:$B$64,'Budget Opex Detail'!$C11)&gt;0,"","New Activity"))</f>
        <v/>
      </c>
      <c r="BE11" s="193"/>
      <c r="BF11" s="194"/>
      <c r="BG11" s="195"/>
      <c r="BH11" s="196"/>
      <c r="BI11" s="197"/>
      <c r="BJ11" s="197"/>
      <c r="BK11" s="198"/>
      <c r="BL11" s="147">
        <f t="shared" si="6"/>
        <v>0</v>
      </c>
      <c r="BM11" s="196"/>
      <c r="BN11" s="196"/>
      <c r="BO11" s="199">
        <f t="shared" si="4"/>
        <v>0</v>
      </c>
      <c r="BP11" s="200"/>
      <c r="BR11" s="202" t="str">
        <f>IF($H11="","",VLOOKUP($H11,'Master Data'!$B:$D,3,FALSE))</f>
        <v>Tax and Licenses Expenses</v>
      </c>
      <c r="BS11" s="202" t="str">
        <f t="shared" si="7"/>
        <v>General Administrative</v>
      </c>
      <c r="BT11" s="202" t="str">
        <f>IF($H11="","",VLOOKUP(VALUE($H11),'Master Data'!B:I,8,FALSE))</f>
        <v>Tax and license</v>
      </c>
    </row>
    <row r="12" spans="1:72" s="201" customFormat="1" x14ac:dyDescent="0.35">
      <c r="A12" s="178" t="str">
        <f>IF(D12="","",Cover!$D$8)</f>
        <v>Legal &amp; Compliance</v>
      </c>
      <c r="B12" s="132" t="str">
        <f>IF(D12="","",IFERROR(VLOOKUP(G12,'Master Data'!$E$59:$J$144,6,FALSE),0))</f>
        <v>Permit &amp; Licensing</v>
      </c>
      <c r="C12" s="298" t="str">
        <f>IF(D12="","",_xlfn.XLOOKUP(D12,'Activity Master Opex'!C:C,'Activity Master Opex'!B:B,0,0,1))</f>
        <v>MS008-00007</v>
      </c>
      <c r="D12" s="180" t="s">
        <v>489</v>
      </c>
      <c r="E12" s="289">
        <f>IF(D12="","",IFERROR(VLOOKUP(D12,'Activity Master Opex'!$C:$M,6,FALSE),0))</f>
        <v>0</v>
      </c>
      <c r="F12" s="181" t="str">
        <f>IF($C12="","",VLOOKUP($C12,'Activity Master Opex'!$B:$I,3,0))</f>
        <v>10301MS008</v>
      </c>
      <c r="G12" s="179" t="str">
        <f>IF($C12="","",VLOOKUP($F12,'Master Data'!$D$59:$E$144,2,FALSE))</f>
        <v>LICENSES &amp; PERMITS</v>
      </c>
      <c r="H12" s="182">
        <f>IF($C12="","",VLOOKUP($C12,'Activity Master Opex'!$B:$I,5,0))</f>
        <v>62100030</v>
      </c>
      <c r="I12" s="178" t="str">
        <f>IFERROR(VLOOKUP(H12,'Activity Master Opex'!F:G,2,FALSE),"")</f>
        <v>TL - Restribution</v>
      </c>
      <c r="J12" s="203">
        <f>2000*15500</f>
        <v>31000000</v>
      </c>
      <c r="K12" s="183">
        <v>0</v>
      </c>
      <c r="L12" s="184"/>
      <c r="M12" s="184"/>
      <c r="N12" s="184"/>
      <c r="O12" s="184"/>
      <c r="P12" s="184"/>
      <c r="Q12" s="184"/>
      <c r="R12" s="184"/>
      <c r="S12" s="184"/>
      <c r="T12" s="184"/>
      <c r="U12" s="184"/>
      <c r="V12" s="184"/>
      <c r="W12" s="184"/>
      <c r="X12" s="185">
        <f t="shared" si="9"/>
        <v>0</v>
      </c>
      <c r="Y12" s="186"/>
      <c r="Z12" s="142"/>
      <c r="AA12" s="142"/>
      <c r="AB12" s="142"/>
      <c r="AC12" s="142"/>
      <c r="AD12" s="142"/>
      <c r="AE12" s="142"/>
      <c r="AF12" s="142"/>
      <c r="AG12" s="142"/>
      <c r="AH12" s="142"/>
      <c r="AI12" s="142"/>
      <c r="AJ12" s="142"/>
      <c r="AK12" s="142"/>
      <c r="AL12" s="187">
        <f t="shared" si="0"/>
        <v>0</v>
      </c>
      <c r="AM12" s="188"/>
      <c r="AN12" s="142"/>
      <c r="AO12" s="142"/>
      <c r="AP12" s="142"/>
      <c r="AQ12" s="142"/>
      <c r="AR12" s="142"/>
      <c r="AS12" s="142"/>
      <c r="AT12" s="142"/>
      <c r="AU12" s="142"/>
      <c r="AV12" s="142"/>
      <c r="AW12" s="142"/>
      <c r="AX12" s="142"/>
      <c r="AY12" s="142"/>
      <c r="AZ12" s="187">
        <f t="shared" si="1"/>
        <v>0</v>
      </c>
      <c r="BA12" s="189">
        <f t="shared" si="2"/>
        <v>-31000000</v>
      </c>
      <c r="BB12" s="190"/>
      <c r="BC12" s="191">
        <f t="shared" si="3"/>
        <v>0</v>
      </c>
      <c r="BD12" s="192" t="str">
        <f>IF('Budget Opex Detail'!C12="","",IF(COUNTIFS('Activity Master Opex'!$B$4:$B$64,'Budget Opex Detail'!$C12)&gt;0,"","New Activity"))</f>
        <v/>
      </c>
      <c r="BE12" s="193"/>
      <c r="BF12" s="194"/>
      <c r="BG12" s="195"/>
      <c r="BH12" s="196"/>
      <c r="BI12" s="197"/>
      <c r="BJ12" s="197"/>
      <c r="BK12" s="198"/>
      <c r="BL12" s="147">
        <f t="shared" si="6"/>
        <v>0</v>
      </c>
      <c r="BM12" s="196"/>
      <c r="BN12" s="196"/>
      <c r="BO12" s="199">
        <f t="shared" si="4"/>
        <v>0</v>
      </c>
      <c r="BP12" s="200"/>
      <c r="BR12" s="202" t="str">
        <f>IF($H12="","",VLOOKUP($H12,'Master Data'!$B:$D,3,FALSE))</f>
        <v>Tax and Licenses Expenses</v>
      </c>
      <c r="BS12" s="202" t="str">
        <f t="shared" si="7"/>
        <v>General Administrative</v>
      </c>
      <c r="BT12" s="202" t="str">
        <f>IF($H12="","",VLOOKUP(VALUE($H12),'Master Data'!B:I,8,FALSE))</f>
        <v>Tax and license</v>
      </c>
    </row>
    <row r="13" spans="1:72" s="201" customFormat="1" x14ac:dyDescent="0.35">
      <c r="A13" s="178" t="str">
        <f>IF(D13="","",Cover!$D$8)</f>
        <v>Legal &amp; Compliance</v>
      </c>
      <c r="B13" s="132" t="str">
        <f>IF(D13="","",IFERROR(VLOOKUP(G13,'Master Data'!$E$59:$J$144,6,FALSE),0))</f>
        <v>Permit &amp; Licensing</v>
      </c>
      <c r="C13" s="298" t="str">
        <f>IF(D13="","",_xlfn.XLOOKUP(D13,'Activity Master Opex'!C:C,'Activity Master Opex'!B:B,0,0,1))</f>
        <v>MS008-00009</v>
      </c>
      <c r="D13" s="180" t="s">
        <v>491</v>
      </c>
      <c r="E13" s="289" t="str">
        <f>IF(D13="","",IFERROR(VLOOKUP(D13,'Activity Master Opex'!$C:$M,6,FALSE),0))</f>
        <v>Extending work tool permits is to comply with safety and operational regulations</v>
      </c>
      <c r="F13" s="181" t="str">
        <f>IF($C13="","",VLOOKUP($C13,'Activity Master Opex'!$B:$I,3,0))</f>
        <v>10301MS008</v>
      </c>
      <c r="G13" s="179" t="str">
        <f>IF($C13="","",VLOOKUP($F13,'Master Data'!$D$59:$E$144,2,FALSE))</f>
        <v>LICENSES &amp; PERMITS</v>
      </c>
      <c r="H13" s="182">
        <f>IF($C13="","",VLOOKUP($C13,'Activity Master Opex'!$B:$I,5,0))</f>
        <v>62100050</v>
      </c>
      <c r="I13" s="178" t="str">
        <f>IFERROR(VLOOKUP(H13,'Activity Master Opex'!F:G,2,FALSE),"")</f>
        <v>TL - Others Tax and License</v>
      </c>
      <c r="J13" s="203">
        <f>7534*15500</f>
        <v>116777000</v>
      </c>
      <c r="K13" s="183">
        <v>0</v>
      </c>
      <c r="L13" s="184"/>
      <c r="M13" s="184"/>
      <c r="N13" s="184"/>
      <c r="O13" s="184"/>
      <c r="P13" s="184"/>
      <c r="Q13" s="184"/>
      <c r="R13" s="184"/>
      <c r="S13" s="184"/>
      <c r="T13" s="184"/>
      <c r="U13" s="184"/>
      <c r="V13" s="184"/>
      <c r="W13" s="184"/>
      <c r="X13" s="185">
        <f t="shared" si="9"/>
        <v>0</v>
      </c>
      <c r="Y13" s="186"/>
      <c r="Z13" s="142"/>
      <c r="AA13" s="142"/>
      <c r="AB13" s="142"/>
      <c r="AC13" s="142"/>
      <c r="AD13" s="142"/>
      <c r="AE13" s="142"/>
      <c r="AF13" s="142"/>
      <c r="AG13" s="142"/>
      <c r="AH13" s="142"/>
      <c r="AI13" s="142"/>
      <c r="AJ13" s="142"/>
      <c r="AK13" s="142"/>
      <c r="AL13" s="187">
        <f t="shared" si="0"/>
        <v>0</v>
      </c>
      <c r="AM13" s="188"/>
      <c r="AN13" s="142"/>
      <c r="AO13" s="142"/>
      <c r="AP13" s="142"/>
      <c r="AQ13" s="142"/>
      <c r="AR13" s="142"/>
      <c r="AS13" s="142"/>
      <c r="AT13" s="142"/>
      <c r="AU13" s="142"/>
      <c r="AV13" s="142"/>
      <c r="AW13" s="142"/>
      <c r="AX13" s="142"/>
      <c r="AY13" s="142"/>
      <c r="AZ13" s="187">
        <f t="shared" si="1"/>
        <v>0</v>
      </c>
      <c r="BA13" s="189">
        <f t="shared" si="2"/>
        <v>-116777000</v>
      </c>
      <c r="BB13" s="190"/>
      <c r="BC13" s="191">
        <f t="shared" si="3"/>
        <v>0</v>
      </c>
      <c r="BD13" s="192" t="str">
        <f>IF('Budget Opex Detail'!C13="","",IF(COUNTIFS('Activity Master Opex'!$B$4:$B$64,'Budget Opex Detail'!$C13)&gt;0,"","New Activity"))</f>
        <v/>
      </c>
      <c r="BE13" s="193"/>
      <c r="BF13" s="194"/>
      <c r="BG13" s="195"/>
      <c r="BH13" s="196"/>
      <c r="BI13" s="197"/>
      <c r="BJ13" s="197"/>
      <c r="BK13" s="198"/>
      <c r="BL13" s="147">
        <f t="shared" si="6"/>
        <v>0</v>
      </c>
      <c r="BM13" s="196"/>
      <c r="BN13" s="196"/>
      <c r="BO13" s="199">
        <f t="shared" si="4"/>
        <v>0</v>
      </c>
      <c r="BP13" s="200"/>
      <c r="BR13" s="202" t="str">
        <f>IF($H13="","",VLOOKUP($H13,'Master Data'!$B:$D,3,FALSE))</f>
        <v>Tax and Licenses Expenses</v>
      </c>
      <c r="BS13" s="202" t="str">
        <f t="shared" si="7"/>
        <v>General Administrative</v>
      </c>
      <c r="BT13" s="202" t="str">
        <f>IF($H13="","",VLOOKUP(VALUE($H13),'Master Data'!B:I,8,FALSE))</f>
        <v>Tax and license</v>
      </c>
    </row>
    <row r="14" spans="1:72" s="201" customFormat="1" x14ac:dyDescent="0.35">
      <c r="A14" s="178" t="str">
        <f>IF(D14="","",Cover!$D$8)</f>
        <v>Legal &amp; Compliance</v>
      </c>
      <c r="B14" s="132" t="str">
        <f>IF(D14="","",IFERROR(VLOOKUP(G14,'Master Data'!$E$59:$J$144,6,FALSE),0))</f>
        <v>Permit &amp; Licensing</v>
      </c>
      <c r="C14" s="298" t="str">
        <f>IF(D14="","",_xlfn.XLOOKUP(D14,'Activity Master Opex'!C:C,'Activity Master Opex'!B:B,0,0,1))</f>
        <v>MS008-00025</v>
      </c>
      <c r="D14" s="180" t="s">
        <v>502</v>
      </c>
      <c r="E14" s="289">
        <f>IF(D14="","",IFERROR(VLOOKUP(D14,'Activity Master Opex'!$C:$M,6,FALSE),0))</f>
        <v>0</v>
      </c>
      <c r="F14" s="181" t="str">
        <f>IF($C14="","",VLOOKUP($C14,'Activity Master Opex'!$B:$I,3,0))</f>
        <v>10301MS008</v>
      </c>
      <c r="G14" s="179" t="str">
        <f>IF($C14="","",VLOOKUP($F14,'Master Data'!$D$59:$E$144,2,FALSE))</f>
        <v>LICENSES &amp; PERMITS</v>
      </c>
      <c r="H14" s="182">
        <f>IF($C14="","",VLOOKUP($C14,'Activity Master Opex'!$B:$I,5,0))</f>
        <v>61900090</v>
      </c>
      <c r="I14" s="178" t="str">
        <f>IFERROR(VLOOKUP(H14,'Activity Master Opex'!F:G,2,FALSE),"")</f>
        <v>PF - Other Professional Fees</v>
      </c>
      <c r="J14" s="183">
        <f>3468*15500</f>
        <v>53754000</v>
      </c>
      <c r="K14" s="183">
        <v>0</v>
      </c>
      <c r="L14" s="184"/>
      <c r="M14" s="184"/>
      <c r="N14" s="184"/>
      <c r="O14" s="184"/>
      <c r="P14" s="184"/>
      <c r="Q14" s="184"/>
      <c r="R14" s="184"/>
      <c r="S14" s="184"/>
      <c r="T14" s="184"/>
      <c r="U14" s="184"/>
      <c r="V14" s="184"/>
      <c r="W14" s="184"/>
      <c r="X14" s="185">
        <f t="shared" si="9"/>
        <v>0</v>
      </c>
      <c r="Y14" s="186"/>
      <c r="Z14" s="142"/>
      <c r="AA14" s="142"/>
      <c r="AB14" s="142"/>
      <c r="AC14" s="142"/>
      <c r="AD14" s="142"/>
      <c r="AE14" s="142"/>
      <c r="AF14" s="142"/>
      <c r="AG14" s="142"/>
      <c r="AH14" s="142"/>
      <c r="AI14" s="142"/>
      <c r="AJ14" s="142"/>
      <c r="AK14" s="142"/>
      <c r="AL14" s="187">
        <f t="shared" si="0"/>
        <v>0</v>
      </c>
      <c r="AM14" s="188"/>
      <c r="AN14" s="142"/>
      <c r="AO14" s="142"/>
      <c r="AP14" s="142"/>
      <c r="AQ14" s="142"/>
      <c r="AR14" s="142"/>
      <c r="AS14" s="142"/>
      <c r="AT14" s="142"/>
      <c r="AU14" s="142"/>
      <c r="AV14" s="142"/>
      <c r="AW14" s="142"/>
      <c r="AX14" s="142"/>
      <c r="AY14" s="142"/>
      <c r="AZ14" s="187">
        <f t="shared" si="1"/>
        <v>0</v>
      </c>
      <c r="BA14" s="189">
        <f t="shared" si="2"/>
        <v>-53754000</v>
      </c>
      <c r="BB14" s="190"/>
      <c r="BC14" s="191">
        <f t="shared" si="3"/>
        <v>0</v>
      </c>
      <c r="BD14" s="192" t="str">
        <f>IF('Budget Opex Detail'!C14="","",IF(COUNTIFS('Activity Master Opex'!$B$4:$B$64,'Budget Opex Detail'!$C14)&gt;0,"","New Activity"))</f>
        <v/>
      </c>
      <c r="BE14" s="193"/>
      <c r="BF14" s="194"/>
      <c r="BG14" s="195"/>
      <c r="BH14" s="196"/>
      <c r="BI14" s="197"/>
      <c r="BJ14" s="197"/>
      <c r="BK14" s="198"/>
      <c r="BL14" s="147">
        <f t="shared" si="6"/>
        <v>0</v>
      </c>
      <c r="BM14" s="196"/>
      <c r="BN14" s="196"/>
      <c r="BO14" s="199">
        <f t="shared" si="4"/>
        <v>0</v>
      </c>
      <c r="BP14" s="200"/>
      <c r="BR14" s="202" t="str">
        <f>IF($H14="","",VLOOKUP($H14,'Master Data'!$B:$D,3,FALSE))</f>
        <v>Professional Fees</v>
      </c>
      <c r="BS14" s="202" t="str">
        <f t="shared" si="7"/>
        <v>General Administrative</v>
      </c>
      <c r="BT14" s="202" t="str">
        <f>IF($H14="","",VLOOKUP(VALUE($H14),'Master Data'!B:I,8,FALSE))</f>
        <v>Professional fees</v>
      </c>
    </row>
    <row r="15" spans="1:72" s="201" customFormat="1" x14ac:dyDescent="0.35">
      <c r="A15" s="178" t="str">
        <f>IF(D15="","",Cover!$D$8)</f>
        <v>Legal &amp; Compliance</v>
      </c>
      <c r="B15" s="132" t="str">
        <f>IF(D15="","",IFERROR(VLOOKUP(G15,'Master Data'!$E$59:$J$144,6,FALSE),0))</f>
        <v>Permit &amp; Licensing</v>
      </c>
      <c r="C15" s="298" t="str">
        <f>IF(D15="","",_xlfn.XLOOKUP(D15,'Activity Master Opex'!C:C,'Activity Master Opex'!B:B,0,0,1))</f>
        <v>MS008-00041</v>
      </c>
      <c r="D15" s="180" t="s">
        <v>504</v>
      </c>
      <c r="E15" s="289" t="str">
        <f>IF(D15="","",IFERROR(VLOOKUP(D15,'Activity Master Opex'!$C:$M,6,FALSE),0))</f>
        <v>Consultant to assist in preparing the necessary documents and conducting assessments for the scrap import quota is essential for ensuring compliance with regulatory requirements</v>
      </c>
      <c r="F15" s="181" t="str">
        <f>IF($C15="","",VLOOKUP($C15,'Activity Master Opex'!$B:$I,3,0))</f>
        <v>10301MS008</v>
      </c>
      <c r="G15" s="179" t="str">
        <f>IF($C15="","",VLOOKUP($F15,'Master Data'!$D$59:$E$144,2,FALSE))</f>
        <v>LICENSES &amp; PERMITS</v>
      </c>
      <c r="H15" s="182">
        <f>IF($C15="","",VLOOKUP($C15,'Activity Master Opex'!$B:$I,5,0))</f>
        <v>62100030</v>
      </c>
      <c r="I15" s="178" t="str">
        <f>IFERROR(VLOOKUP(H15,'Activity Master Opex'!F:G,2,FALSE),"")</f>
        <v>TL - Restribution</v>
      </c>
      <c r="J15" s="183">
        <f>9000*15500</f>
        <v>139500000</v>
      </c>
      <c r="K15" s="183">
        <v>0</v>
      </c>
      <c r="L15" s="184"/>
      <c r="M15" s="184"/>
      <c r="N15" s="184"/>
      <c r="O15" s="184"/>
      <c r="P15" s="184"/>
      <c r="Q15" s="184"/>
      <c r="R15" s="184"/>
      <c r="S15" s="184"/>
      <c r="T15" s="184"/>
      <c r="U15" s="184"/>
      <c r="V15" s="184"/>
      <c r="W15" s="184"/>
      <c r="X15" s="185">
        <f t="shared" si="9"/>
        <v>0</v>
      </c>
      <c r="Y15" s="186"/>
      <c r="Z15" s="142"/>
      <c r="AA15" s="142"/>
      <c r="AB15" s="142"/>
      <c r="AC15" s="142"/>
      <c r="AD15" s="142"/>
      <c r="AE15" s="142"/>
      <c r="AF15" s="142"/>
      <c r="AG15" s="142"/>
      <c r="AH15" s="142"/>
      <c r="AI15" s="142"/>
      <c r="AJ15" s="142"/>
      <c r="AK15" s="142"/>
      <c r="AL15" s="187">
        <f t="shared" si="0"/>
        <v>0</v>
      </c>
      <c r="AM15" s="188"/>
      <c r="AN15" s="142"/>
      <c r="AO15" s="142"/>
      <c r="AP15" s="142"/>
      <c r="AQ15" s="142"/>
      <c r="AR15" s="142"/>
      <c r="AS15" s="142"/>
      <c r="AT15" s="142"/>
      <c r="AU15" s="142"/>
      <c r="AV15" s="142"/>
      <c r="AW15" s="142"/>
      <c r="AX15" s="142"/>
      <c r="AY15" s="142"/>
      <c r="AZ15" s="187">
        <f t="shared" si="1"/>
        <v>0</v>
      </c>
      <c r="BA15" s="189">
        <f t="shared" si="2"/>
        <v>-139500000</v>
      </c>
      <c r="BB15" s="190"/>
      <c r="BC15" s="191">
        <f t="shared" si="3"/>
        <v>0</v>
      </c>
      <c r="BD15" s="192" t="str">
        <f>IF('Budget Opex Detail'!C15="","",IF(COUNTIFS('Activity Master Opex'!$B$4:$B$64,'Budget Opex Detail'!$C15)&gt;0,"","New Activity"))</f>
        <v/>
      </c>
      <c r="BE15" s="193"/>
      <c r="BF15" s="194"/>
      <c r="BG15" s="195"/>
      <c r="BH15" s="196"/>
      <c r="BI15" s="197"/>
      <c r="BJ15" s="197"/>
      <c r="BK15" s="198"/>
      <c r="BL15" s="147">
        <f t="shared" si="6"/>
        <v>0</v>
      </c>
      <c r="BM15" s="196"/>
      <c r="BN15" s="196"/>
      <c r="BO15" s="199">
        <f t="shared" si="4"/>
        <v>0</v>
      </c>
      <c r="BP15" s="200"/>
      <c r="BR15" s="202" t="str">
        <f>IF($H15="","",VLOOKUP($H15,'Master Data'!$B:$D,3,FALSE))</f>
        <v>Tax and Licenses Expenses</v>
      </c>
      <c r="BS15" s="202" t="str">
        <f t="shared" si="7"/>
        <v>General Administrative</v>
      </c>
      <c r="BT15" s="202" t="str">
        <f>IF($H15="","",VLOOKUP(VALUE($H15),'Master Data'!B:I,8,FALSE))</f>
        <v>Tax and license</v>
      </c>
    </row>
    <row r="16" spans="1:72" s="201" customFormat="1" x14ac:dyDescent="0.35">
      <c r="A16" s="178" t="str">
        <f>IF(D16="","",Cover!$D$8)</f>
        <v>Legal &amp; Compliance</v>
      </c>
      <c r="B16" s="132" t="str">
        <f>IF(D16="","",IFERROR(VLOOKUP(G16,'Master Data'!$E$59:$J$144,6,FALSE),0))</f>
        <v>Permit &amp; Licensing</v>
      </c>
      <c r="C16" s="298" t="str">
        <f>IF(D16="","",_xlfn.XLOOKUP(D16,'Activity Master Opex'!C:C,'Activity Master Opex'!B:B,0,0,1))</f>
        <v>MS008-00042</v>
      </c>
      <c r="D16" s="180" t="s">
        <v>506</v>
      </c>
      <c r="E16" s="289" t="str">
        <f>IF(D16="","",IFERROR(VLOOKUP(D16,'Activity Master Opex'!$C:$M,6,FALSE),0))</f>
        <v>Registering and maintaining intellectual property rights (HAKI) for the GYS brand</v>
      </c>
      <c r="F16" s="181" t="str">
        <f>IF($C16="","",VLOOKUP($C16,'Activity Master Opex'!$B:$I,3,0))</f>
        <v>10301MS008</v>
      </c>
      <c r="G16" s="179" t="str">
        <f>IF($C16="","",VLOOKUP($F16,'Master Data'!$D$59:$E$144,2,FALSE))</f>
        <v>LICENSES &amp; PERMITS</v>
      </c>
      <c r="H16" s="182">
        <f>IF($C16="","",VLOOKUP($C16,'Activity Master Opex'!$B:$I,5,0))</f>
        <v>62100030</v>
      </c>
      <c r="I16" s="178" t="str">
        <f>IFERROR(VLOOKUP(H16,'Activity Master Opex'!F:G,2,FALSE),"")</f>
        <v>TL - Restribution</v>
      </c>
      <c r="J16" s="203">
        <f>7308.19*15500</f>
        <v>113276945</v>
      </c>
      <c r="K16" s="183">
        <v>0</v>
      </c>
      <c r="L16" s="184"/>
      <c r="M16" s="184"/>
      <c r="N16" s="184"/>
      <c r="O16" s="184"/>
      <c r="P16" s="184"/>
      <c r="Q16" s="184"/>
      <c r="R16" s="184"/>
      <c r="S16" s="184"/>
      <c r="T16" s="184"/>
      <c r="U16" s="184"/>
      <c r="V16" s="184"/>
      <c r="W16" s="184"/>
      <c r="X16" s="185">
        <f t="shared" si="9"/>
        <v>0</v>
      </c>
      <c r="Y16" s="186"/>
      <c r="Z16" s="142"/>
      <c r="AA16" s="142"/>
      <c r="AB16" s="142"/>
      <c r="AC16" s="142"/>
      <c r="AD16" s="142"/>
      <c r="AE16" s="142"/>
      <c r="AF16" s="142"/>
      <c r="AG16" s="142"/>
      <c r="AH16" s="142"/>
      <c r="AI16" s="142"/>
      <c r="AJ16" s="142"/>
      <c r="AK16" s="142"/>
      <c r="AL16" s="187">
        <f t="shared" si="0"/>
        <v>0</v>
      </c>
      <c r="AM16" s="188"/>
      <c r="AN16" s="142"/>
      <c r="AO16" s="142"/>
      <c r="AP16" s="142"/>
      <c r="AQ16" s="142"/>
      <c r="AR16" s="142"/>
      <c r="AS16" s="142"/>
      <c r="AT16" s="142"/>
      <c r="AU16" s="142"/>
      <c r="AV16" s="142"/>
      <c r="AW16" s="142"/>
      <c r="AX16" s="142"/>
      <c r="AY16" s="142"/>
      <c r="AZ16" s="187">
        <f t="shared" si="1"/>
        <v>0</v>
      </c>
      <c r="BA16" s="189">
        <f t="shared" si="2"/>
        <v>-113276945</v>
      </c>
      <c r="BB16" s="190"/>
      <c r="BC16" s="191">
        <f t="shared" si="3"/>
        <v>0</v>
      </c>
      <c r="BD16" s="192" t="str">
        <f>IF('Budget Opex Detail'!C16="","",IF(COUNTIFS('Activity Master Opex'!$B$4:$B$64,'Budget Opex Detail'!$C16)&gt;0,"","New Activity"))</f>
        <v/>
      </c>
      <c r="BE16" s="193"/>
      <c r="BF16" s="194"/>
      <c r="BG16" s="195"/>
      <c r="BH16" s="196"/>
      <c r="BI16" s="197"/>
      <c r="BJ16" s="197"/>
      <c r="BK16" s="198"/>
      <c r="BL16" s="147">
        <f t="shared" si="6"/>
        <v>0</v>
      </c>
      <c r="BM16" s="196"/>
      <c r="BN16" s="196"/>
      <c r="BO16" s="199">
        <f t="shared" si="4"/>
        <v>0</v>
      </c>
      <c r="BP16" s="200"/>
      <c r="BR16" s="202" t="str">
        <f>IF($H16="","",VLOOKUP($H16,'Master Data'!$B:$D,3,FALSE))</f>
        <v>Tax and Licenses Expenses</v>
      </c>
      <c r="BS16" s="202" t="str">
        <f t="shared" si="7"/>
        <v>General Administrative</v>
      </c>
      <c r="BT16" s="202" t="str">
        <f>IF($H16="","",VLOOKUP(VALUE($H16),'Master Data'!B:I,8,FALSE))</f>
        <v>Tax and license</v>
      </c>
    </row>
    <row r="17" spans="1:72" s="201" customFormat="1" x14ac:dyDescent="0.35">
      <c r="A17" s="178" t="str">
        <f>IF(D17="","",Cover!$D$8)</f>
        <v>Legal &amp; Compliance</v>
      </c>
      <c r="B17" s="132" t="str">
        <f>IF(D17="","",IFERROR(VLOOKUP(G17,'Master Data'!$E$59:$J$144,6,FALSE),0))</f>
        <v>General Counsel</v>
      </c>
      <c r="C17" s="298" t="str">
        <f>IF(D17="","",_xlfn.XLOOKUP(D17,'Activity Master Opex'!C:C,'Activity Master Opex'!B:B,0,0,1))</f>
        <v>CL001-00001</v>
      </c>
      <c r="D17" s="180" t="s">
        <v>444</v>
      </c>
      <c r="E17" s="289" t="str">
        <f>IF(D17="","",IFERROR(VLOOKUP(D17,'Activity Master Opex'!$C:$M,6,FALSE),0))</f>
        <v>Purpose of engaging legal services from a Notary and PPAT (Pejabat Pembuat Akta Tanah) is to ensure the proper legal verification, documentation, and approval of transactions related to loan agreements with banks</v>
      </c>
      <c r="F17" s="181" t="str">
        <f>IF($C17="","",VLOOKUP($C17,'Activity Master Opex'!$B:$I,3,0))</f>
        <v>10301CL001</v>
      </c>
      <c r="G17" s="179" t="str">
        <f>IF($C17="","",VLOOKUP($F17,'Master Data'!$D$59:$E$144,2,FALSE))</f>
        <v>CORPORATE LEGAL &amp; COMPLIANCE</v>
      </c>
      <c r="H17" s="182">
        <f>IF($C17="","",VLOOKUP($C17,'Activity Master Opex'!$B:$I,5,0))</f>
        <v>61900010</v>
      </c>
      <c r="I17" s="178" t="str">
        <f>IFERROR(VLOOKUP(H17,'Activity Master Opex'!F:G,2,FALSE),"")</f>
        <v>PF - Legal Fee</v>
      </c>
      <c r="J17" s="203">
        <f>14830*15500</f>
        <v>229865000</v>
      </c>
      <c r="K17" s="183">
        <v>22061537</v>
      </c>
      <c r="L17" s="184"/>
      <c r="M17" s="184"/>
      <c r="N17" s="184"/>
      <c r="O17" s="184"/>
      <c r="P17" s="184"/>
      <c r="Q17" s="184"/>
      <c r="R17" s="184"/>
      <c r="S17" s="184"/>
      <c r="T17" s="184"/>
      <c r="U17" s="184"/>
      <c r="V17" s="184"/>
      <c r="W17" s="184"/>
      <c r="X17" s="185">
        <f t="shared" si="9"/>
        <v>0</v>
      </c>
      <c r="Y17" s="186"/>
      <c r="Z17" s="142"/>
      <c r="AA17" s="142"/>
      <c r="AB17" s="142"/>
      <c r="AC17" s="142"/>
      <c r="AD17" s="142"/>
      <c r="AE17" s="142"/>
      <c r="AF17" s="142"/>
      <c r="AG17" s="142"/>
      <c r="AH17" s="142"/>
      <c r="AI17" s="142"/>
      <c r="AJ17" s="142"/>
      <c r="AK17" s="142"/>
      <c r="AL17" s="187">
        <f t="shared" si="0"/>
        <v>0</v>
      </c>
      <c r="AM17" s="188"/>
      <c r="AN17" s="142"/>
      <c r="AO17" s="142"/>
      <c r="AP17" s="142"/>
      <c r="AQ17" s="142"/>
      <c r="AR17" s="142"/>
      <c r="AS17" s="142"/>
      <c r="AT17" s="142"/>
      <c r="AU17" s="142"/>
      <c r="AV17" s="142"/>
      <c r="AW17" s="142"/>
      <c r="AX17" s="142"/>
      <c r="AY17" s="142"/>
      <c r="AZ17" s="187">
        <f t="shared" si="1"/>
        <v>0</v>
      </c>
      <c r="BA17" s="189">
        <f t="shared" si="2"/>
        <v>-229865000</v>
      </c>
      <c r="BB17" s="190"/>
      <c r="BC17" s="191">
        <f t="shared" si="3"/>
        <v>0</v>
      </c>
      <c r="BD17" s="192" t="str">
        <f>IF('Budget Opex Detail'!C17="","",IF(COUNTIFS('Activity Master Opex'!$B$4:$B$64,'Budget Opex Detail'!$C17)&gt;0,"","New Activity"))</f>
        <v/>
      </c>
      <c r="BE17" s="193"/>
      <c r="BF17" s="194"/>
      <c r="BG17" s="195"/>
      <c r="BH17" s="196"/>
      <c r="BI17" s="197"/>
      <c r="BJ17" s="197"/>
      <c r="BK17" s="198"/>
      <c r="BL17" s="147">
        <f t="shared" si="6"/>
        <v>0</v>
      </c>
      <c r="BM17" s="196"/>
      <c r="BN17" s="196"/>
      <c r="BO17" s="199">
        <f t="shared" si="4"/>
        <v>0</v>
      </c>
      <c r="BP17" s="200"/>
      <c r="BR17" s="202" t="str">
        <f>IF($H17="","",VLOOKUP($H17,'Master Data'!$B:$D,3,FALSE))</f>
        <v>Professional Fees</v>
      </c>
      <c r="BS17" s="202" t="str">
        <f t="shared" si="7"/>
        <v>General Administrative</v>
      </c>
      <c r="BT17" s="202" t="str">
        <f>IF($H17="","",VLOOKUP(VALUE($H17),'Master Data'!B:I,8,FALSE))</f>
        <v>Professional fees</v>
      </c>
    </row>
    <row r="18" spans="1:72" s="201" customFormat="1" x14ac:dyDescent="0.35">
      <c r="A18" s="178" t="str">
        <f>IF(D18="","",Cover!$D$8)</f>
        <v>Legal &amp; Compliance</v>
      </c>
      <c r="B18" s="132" t="str">
        <f>IF(D18="","",IFERROR(VLOOKUP(G18,'Master Data'!$E$59:$J$144,6,FALSE),0))</f>
        <v>General Counsel</v>
      </c>
      <c r="C18" s="298" t="str">
        <f>IF(D18="","",_xlfn.XLOOKUP(D18,'Activity Master Opex'!C:C,'Activity Master Opex'!B:B,0,0,1))</f>
        <v>CL001-00002</v>
      </c>
      <c r="D18" s="180" t="s">
        <v>446</v>
      </c>
      <c r="E18" s="290" t="str">
        <f>IF(D18="","",IFERROR(VLOOKUP(D18,'Activity Master Opex'!$C:$M,6,FALSE),0))</f>
        <v>Purpose of engaging legal consultants on a retainer or project basis is to ensure that GYS has access to expert legal advice and support for handling various legal matters. This includes reviewing significant commercial contracts, managing potential litigation cases, and providing legal opinions to safeguard GYS’s interests</v>
      </c>
      <c r="F18" s="181" t="str">
        <f>IF($C18="","",VLOOKUP($C18,'Activity Master Opex'!$B:$I,3,0))</f>
        <v>10301CL001</v>
      </c>
      <c r="G18" s="179" t="str">
        <f>IF($C18="","",VLOOKUP($F18,'Master Data'!$D$59:$E$144,2,FALSE))</f>
        <v>CORPORATE LEGAL &amp; COMPLIANCE</v>
      </c>
      <c r="H18" s="182">
        <f>IF($C18="","",VLOOKUP($C18,'Activity Master Opex'!$B:$I,5,0))</f>
        <v>61900010</v>
      </c>
      <c r="I18" s="178" t="str">
        <f>IFERROR(VLOOKUP(H18,'Activity Master Opex'!F:G,2,FALSE),"")</f>
        <v>PF - Legal Fee</v>
      </c>
      <c r="J18" s="203">
        <f>29600*15500</f>
        <v>458800000</v>
      </c>
      <c r="K18" s="183">
        <v>0</v>
      </c>
      <c r="L18" s="184"/>
      <c r="M18" s="184"/>
      <c r="N18" s="184"/>
      <c r="O18" s="184"/>
      <c r="P18" s="184"/>
      <c r="Q18" s="184"/>
      <c r="R18" s="184"/>
      <c r="S18" s="184"/>
      <c r="T18" s="184"/>
      <c r="U18" s="184"/>
      <c r="V18" s="184"/>
      <c r="W18" s="184"/>
      <c r="X18" s="185">
        <f t="shared" si="9"/>
        <v>0</v>
      </c>
      <c r="Y18" s="186"/>
      <c r="Z18" s="142"/>
      <c r="AA18" s="142"/>
      <c r="AB18" s="142"/>
      <c r="AC18" s="142"/>
      <c r="AD18" s="142"/>
      <c r="AE18" s="142"/>
      <c r="AF18" s="142"/>
      <c r="AG18" s="142"/>
      <c r="AH18" s="142"/>
      <c r="AI18" s="142"/>
      <c r="AJ18" s="142"/>
      <c r="AK18" s="142"/>
      <c r="AL18" s="187">
        <f t="shared" si="0"/>
        <v>0</v>
      </c>
      <c r="AM18" s="188"/>
      <c r="AN18" s="142"/>
      <c r="AO18" s="142"/>
      <c r="AP18" s="142"/>
      <c r="AQ18" s="142"/>
      <c r="AR18" s="142"/>
      <c r="AS18" s="142"/>
      <c r="AT18" s="142"/>
      <c r="AU18" s="142"/>
      <c r="AV18" s="142"/>
      <c r="AW18" s="142"/>
      <c r="AX18" s="142"/>
      <c r="AY18" s="142"/>
      <c r="AZ18" s="187">
        <f t="shared" si="1"/>
        <v>0</v>
      </c>
      <c r="BA18" s="189">
        <f t="shared" si="2"/>
        <v>-458800000</v>
      </c>
      <c r="BB18" s="190"/>
      <c r="BC18" s="191">
        <f t="shared" si="3"/>
        <v>0</v>
      </c>
      <c r="BD18" s="192" t="str">
        <f>IF('Budget Opex Detail'!C18="","",IF(COUNTIFS('Activity Master Opex'!$B$4:$B$64,'Budget Opex Detail'!$C18)&gt;0,"","New Activity"))</f>
        <v/>
      </c>
      <c r="BE18" s="193"/>
      <c r="BF18" s="194"/>
      <c r="BG18" s="195"/>
      <c r="BH18" s="196"/>
      <c r="BI18" s="197"/>
      <c r="BJ18" s="197"/>
      <c r="BK18" s="198"/>
      <c r="BL18" s="147">
        <f t="shared" si="6"/>
        <v>0</v>
      </c>
      <c r="BM18" s="196"/>
      <c r="BN18" s="196"/>
      <c r="BO18" s="199">
        <f t="shared" si="4"/>
        <v>0</v>
      </c>
      <c r="BP18" s="200"/>
      <c r="BR18" s="202" t="str">
        <f>IF($H18="","",VLOOKUP($H18,'Master Data'!$B:$D,3,FALSE))</f>
        <v>Professional Fees</v>
      </c>
      <c r="BS18" s="202" t="str">
        <f t="shared" si="7"/>
        <v>General Administrative</v>
      </c>
      <c r="BT18" s="202" t="str">
        <f>IF($H18="","",VLOOKUP(VALUE($H18),'Master Data'!B:I,8,FALSE))</f>
        <v>Professional fees</v>
      </c>
    </row>
    <row r="19" spans="1:72" s="201" customFormat="1" x14ac:dyDescent="0.35">
      <c r="A19" s="178" t="str">
        <f>IF(D19="","",Cover!$D$8)</f>
        <v>Legal &amp; Compliance</v>
      </c>
      <c r="B19" s="132" t="str">
        <f>IF(D19="","",IFERROR(VLOOKUP(G19,'Master Data'!$E$59:$J$144,6,FALSE),0))</f>
        <v>General Counsel</v>
      </c>
      <c r="C19" s="298" t="str">
        <f>IF(D19="","",_xlfn.XLOOKUP(D19,'Activity Master Opex'!C:C,'Activity Master Opex'!B:B,0,0,1))</f>
        <v>CL001-00003</v>
      </c>
      <c r="D19" s="180" t="s">
        <v>448</v>
      </c>
      <c r="E19" s="289">
        <f>IF(D19="","",IFERROR(VLOOKUP(D19,'Activity Master Opex'!$C:$M,6,FALSE),0))</f>
        <v>0</v>
      </c>
      <c r="F19" s="181" t="str">
        <f>IF($C19="","",VLOOKUP($C19,'Activity Master Opex'!$B:$I,3,0))</f>
        <v>10301CL001</v>
      </c>
      <c r="G19" s="179" t="str">
        <f>IF($C19="","",VLOOKUP($F19,'Master Data'!$D$59:$E$144,2,FALSE))</f>
        <v>CORPORATE LEGAL &amp; COMPLIANCE</v>
      </c>
      <c r="H19" s="182">
        <f>IF($C19="","",VLOOKUP($C19,'Activity Master Opex'!$B:$I,5,0))</f>
        <v>61900090</v>
      </c>
      <c r="I19" s="178" t="str">
        <f>IFERROR(VLOOKUP(H19,'Activity Master Opex'!F:G,2,FALSE),"")</f>
        <v>PF - Other Professional Fees</v>
      </c>
      <c r="J19" s="203">
        <f>1000*15500</f>
        <v>15500000</v>
      </c>
      <c r="K19" s="183">
        <v>0</v>
      </c>
      <c r="L19" s="184"/>
      <c r="M19" s="184"/>
      <c r="N19" s="184"/>
      <c r="O19" s="184"/>
      <c r="P19" s="184"/>
      <c r="Q19" s="184"/>
      <c r="R19" s="184"/>
      <c r="S19" s="184"/>
      <c r="T19" s="184"/>
      <c r="U19" s="184"/>
      <c r="V19" s="184"/>
      <c r="W19" s="184"/>
      <c r="X19" s="185">
        <f t="shared" si="9"/>
        <v>0</v>
      </c>
      <c r="Y19" s="186"/>
      <c r="Z19" s="142"/>
      <c r="AA19" s="142"/>
      <c r="AB19" s="142"/>
      <c r="AC19" s="142"/>
      <c r="AD19" s="142"/>
      <c r="AE19" s="142"/>
      <c r="AF19" s="142"/>
      <c r="AG19" s="142"/>
      <c r="AH19" s="142"/>
      <c r="AI19" s="142"/>
      <c r="AJ19" s="142"/>
      <c r="AK19" s="142"/>
      <c r="AL19" s="187">
        <f t="shared" si="0"/>
        <v>0</v>
      </c>
      <c r="AM19" s="188"/>
      <c r="AN19" s="142"/>
      <c r="AO19" s="142"/>
      <c r="AP19" s="142"/>
      <c r="AQ19" s="142"/>
      <c r="AR19" s="142"/>
      <c r="AS19" s="142"/>
      <c r="AT19" s="142"/>
      <c r="AU19" s="142"/>
      <c r="AV19" s="142"/>
      <c r="AW19" s="142"/>
      <c r="AX19" s="142"/>
      <c r="AY19" s="142"/>
      <c r="AZ19" s="187">
        <f t="shared" si="1"/>
        <v>0</v>
      </c>
      <c r="BA19" s="189">
        <f t="shared" si="2"/>
        <v>-15500000</v>
      </c>
      <c r="BB19" s="190"/>
      <c r="BC19" s="191">
        <f t="shared" si="3"/>
        <v>0</v>
      </c>
      <c r="BD19" s="192" t="str">
        <f>IF('Budget Opex Detail'!C19="","",IF(COUNTIFS('Activity Master Opex'!$B$4:$B$64,'Budget Opex Detail'!$C19)&gt;0,"","New Activity"))</f>
        <v/>
      </c>
      <c r="BE19" s="193"/>
      <c r="BF19" s="194"/>
      <c r="BG19" s="195"/>
      <c r="BH19" s="196"/>
      <c r="BI19" s="197"/>
      <c r="BJ19" s="197"/>
      <c r="BK19" s="198"/>
      <c r="BL19" s="147">
        <f t="shared" si="6"/>
        <v>0</v>
      </c>
      <c r="BM19" s="196"/>
      <c r="BN19" s="196"/>
      <c r="BO19" s="199">
        <f t="shared" si="4"/>
        <v>0</v>
      </c>
      <c r="BP19" s="200"/>
      <c r="BR19" s="202" t="str">
        <f>IF($H19="","",VLOOKUP($H19,'Master Data'!$B:$D,3,FALSE))</f>
        <v>Professional Fees</v>
      </c>
      <c r="BS19" s="202" t="str">
        <f t="shared" si="7"/>
        <v>General Administrative</v>
      </c>
      <c r="BT19" s="202" t="str">
        <f>IF($H19="","",VLOOKUP(VALUE($H19),'Master Data'!B:I,8,FALSE))</f>
        <v>Professional fees</v>
      </c>
    </row>
    <row r="20" spans="1:72" s="201" customFormat="1" x14ac:dyDescent="0.35">
      <c r="A20" s="178" t="str">
        <f>IF(D20="","",Cover!$D$8)</f>
        <v>Legal &amp; Compliance</v>
      </c>
      <c r="B20" s="132" t="str">
        <f>IF(D20="","",IFERROR(VLOOKUP(G20,'Master Data'!$E$59:$J$144,6,FALSE),0))</f>
        <v>General Counsel</v>
      </c>
      <c r="C20" s="298" t="str">
        <f>IF(D20="","",_xlfn.XLOOKUP(D20,'Activity Master Opex'!C:C,'Activity Master Opex'!B:B,0,0,1))</f>
        <v>CL001-00004</v>
      </c>
      <c r="D20" s="180" t="s">
        <v>471</v>
      </c>
      <c r="E20" s="289" t="str">
        <f>IF(D20="","",IFERROR(VLOOKUP(D20,'Activity Master Opex'!$C:$M,6,FALSE),0))</f>
        <v>Meeting with External Parties</v>
      </c>
      <c r="F20" s="181" t="str">
        <f>IF($C20="","",VLOOKUP($C20,'Activity Master Opex'!$B:$I,3,0))</f>
        <v>10301CL001</v>
      </c>
      <c r="G20" s="179" t="str">
        <f>IF($C20="","",VLOOKUP($F20,'Master Data'!$D$59:$E$144,2,FALSE))</f>
        <v>CORPORATE LEGAL &amp; COMPLIANCE</v>
      </c>
      <c r="H20" s="182">
        <f>IF($C20="","",VLOOKUP($C20,'Activity Master Opex'!$B:$I,5,0))</f>
        <v>62300010</v>
      </c>
      <c r="I20" s="178" t="str">
        <f>IFERROR(VLOOKUP(H20,'Activity Master Opex'!F:G,2,FALSE),"")</f>
        <v>Meeting Expenses</v>
      </c>
      <c r="J20" s="203">
        <f>2000*15500</f>
        <v>31000000</v>
      </c>
      <c r="K20" s="183">
        <v>0</v>
      </c>
      <c r="L20" s="184"/>
      <c r="M20" s="184"/>
      <c r="N20" s="184"/>
      <c r="O20" s="184"/>
      <c r="P20" s="184"/>
      <c r="Q20" s="184"/>
      <c r="R20" s="184"/>
      <c r="S20" s="184"/>
      <c r="T20" s="184"/>
      <c r="U20" s="184"/>
      <c r="V20" s="184"/>
      <c r="W20" s="184"/>
      <c r="X20" s="185">
        <f t="shared" si="9"/>
        <v>0</v>
      </c>
      <c r="Y20" s="186"/>
      <c r="Z20" s="142"/>
      <c r="AA20" s="142"/>
      <c r="AB20" s="142"/>
      <c r="AC20" s="142"/>
      <c r="AD20" s="142"/>
      <c r="AE20" s="142"/>
      <c r="AF20" s="142"/>
      <c r="AG20" s="142"/>
      <c r="AH20" s="142"/>
      <c r="AI20" s="142"/>
      <c r="AJ20" s="142"/>
      <c r="AK20" s="142"/>
      <c r="AL20" s="187">
        <f t="shared" si="0"/>
        <v>0</v>
      </c>
      <c r="AM20" s="188"/>
      <c r="AN20" s="142"/>
      <c r="AO20" s="142"/>
      <c r="AP20" s="142"/>
      <c r="AQ20" s="142"/>
      <c r="AR20" s="142"/>
      <c r="AS20" s="142"/>
      <c r="AT20" s="142"/>
      <c r="AU20" s="142"/>
      <c r="AV20" s="142"/>
      <c r="AW20" s="142"/>
      <c r="AX20" s="142"/>
      <c r="AY20" s="142"/>
      <c r="AZ20" s="187">
        <f t="shared" si="1"/>
        <v>0</v>
      </c>
      <c r="BA20" s="189">
        <f t="shared" si="2"/>
        <v>-31000000</v>
      </c>
      <c r="BB20" s="190"/>
      <c r="BC20" s="191">
        <f t="shared" si="3"/>
        <v>0</v>
      </c>
      <c r="BD20" s="192" t="str">
        <f>IF('Budget Opex Detail'!C20="","",IF(COUNTIFS('Activity Master Opex'!$B$4:$B$64,'Budget Opex Detail'!$C20)&gt;0,"","New Activity"))</f>
        <v/>
      </c>
      <c r="BE20" s="193"/>
      <c r="BF20" s="194"/>
      <c r="BG20" s="195"/>
      <c r="BH20" s="196"/>
      <c r="BI20" s="197"/>
      <c r="BJ20" s="197"/>
      <c r="BK20" s="198"/>
      <c r="BL20" s="147">
        <f t="shared" si="6"/>
        <v>0</v>
      </c>
      <c r="BM20" s="196"/>
      <c r="BN20" s="196"/>
      <c r="BO20" s="199">
        <f t="shared" si="4"/>
        <v>0</v>
      </c>
      <c r="BP20" s="200"/>
      <c r="BR20" s="202" t="str">
        <f>IF($H20="","",VLOOKUP($H20,'Master Data'!$B:$D,3,FALSE))</f>
        <v>Meeting &amp; Ceremony Expense</v>
      </c>
      <c r="BS20" s="202" t="str">
        <f t="shared" si="7"/>
        <v>General Administrative</v>
      </c>
      <c r="BT20" s="202" t="str">
        <f>IF($H20="","",VLOOKUP(VALUE($H20),'Master Data'!B:I,8,FALSE))</f>
        <v>Meeting and ceremony</v>
      </c>
    </row>
    <row r="21" spans="1:72" s="201" customFormat="1" x14ac:dyDescent="0.35">
      <c r="A21" s="178" t="str">
        <f>IF(D21="","",Cover!$D$8)</f>
        <v>Legal &amp; Compliance</v>
      </c>
      <c r="B21" s="132" t="str">
        <f>IF(D21="","",IFERROR(VLOOKUP(G21,'Master Data'!$E$59:$J$144,6,FALSE),0))</f>
        <v>General Counsel</v>
      </c>
      <c r="C21" s="298" t="str">
        <f>IF(D21="","",_xlfn.XLOOKUP(D21,'Activity Master Opex'!C:C,'Activity Master Opex'!B:B,0,0,1))</f>
        <v>CL001-00005</v>
      </c>
      <c r="D21" s="180" t="s">
        <v>563</v>
      </c>
      <c r="E21" s="289" t="str">
        <f>IF(D21="","",IFERROR(VLOOKUP(D21,'Activity Master Opex'!$C:$M,6,FALSE),0))</f>
        <v>Membership to get up-to-date legal resources, including regulation roundups, latest regulations, and legal analysis</v>
      </c>
      <c r="F21" s="181" t="str">
        <f>IF($C21="","",VLOOKUP($C21,'Activity Master Opex'!$B:$I,3,0))</f>
        <v>10301CL001</v>
      </c>
      <c r="G21" s="179" t="str">
        <f>IF($C21="","",VLOOKUP($F21,'Master Data'!$D$59:$E$144,2,FALSE))</f>
        <v>CORPORATE LEGAL &amp; COMPLIANCE</v>
      </c>
      <c r="H21" s="182">
        <f>IF($C21="","",VLOOKUP($C21,'Activity Master Opex'!$B:$I,5,0))</f>
        <v>62900020</v>
      </c>
      <c r="I21" s="178" t="str">
        <f>IFERROR(VLOOKUP(H21,'Activity Master Opex'!F:G,2,FALSE),"")</f>
        <v>Subscriptions and Periodicals</v>
      </c>
      <c r="J21" s="203">
        <f>3483.97*15500</f>
        <v>54001535</v>
      </c>
      <c r="K21" s="183">
        <v>21000000</v>
      </c>
      <c r="L21" s="184"/>
      <c r="M21" s="184"/>
      <c r="N21" s="184"/>
      <c r="O21" s="184"/>
      <c r="P21" s="184"/>
      <c r="Q21" s="184"/>
      <c r="R21" s="184"/>
      <c r="S21" s="184"/>
      <c r="T21" s="184"/>
      <c r="U21" s="184"/>
      <c r="V21" s="184"/>
      <c r="W21" s="184"/>
      <c r="X21" s="185">
        <f t="shared" si="9"/>
        <v>0</v>
      </c>
      <c r="Y21" s="186"/>
      <c r="Z21" s="142"/>
      <c r="AA21" s="142"/>
      <c r="AB21" s="142"/>
      <c r="AC21" s="142"/>
      <c r="AD21" s="142"/>
      <c r="AE21" s="142"/>
      <c r="AF21" s="142"/>
      <c r="AG21" s="142"/>
      <c r="AH21" s="142"/>
      <c r="AI21" s="142"/>
      <c r="AJ21" s="142"/>
      <c r="AK21" s="142"/>
      <c r="AL21" s="187">
        <f t="shared" si="0"/>
        <v>0</v>
      </c>
      <c r="AM21" s="188"/>
      <c r="AN21" s="142"/>
      <c r="AO21" s="142"/>
      <c r="AP21" s="142"/>
      <c r="AQ21" s="142"/>
      <c r="AR21" s="142"/>
      <c r="AS21" s="142"/>
      <c r="AT21" s="142"/>
      <c r="AU21" s="142"/>
      <c r="AV21" s="142"/>
      <c r="AW21" s="142"/>
      <c r="AX21" s="142"/>
      <c r="AY21" s="142"/>
      <c r="AZ21" s="187">
        <f t="shared" si="1"/>
        <v>0</v>
      </c>
      <c r="BA21" s="189">
        <f t="shared" si="2"/>
        <v>-54001535</v>
      </c>
      <c r="BB21" s="190"/>
      <c r="BC21" s="191">
        <f t="shared" si="3"/>
        <v>0</v>
      </c>
      <c r="BD21" s="192" t="str">
        <f>IF('Budget Opex Detail'!C21="","",IF(COUNTIFS('Activity Master Opex'!$B$4:$B$64,'Budget Opex Detail'!$C21)&gt;0,"","New Activity"))</f>
        <v/>
      </c>
      <c r="BE21" s="193"/>
      <c r="BF21" s="194"/>
      <c r="BG21" s="195"/>
      <c r="BH21" s="196"/>
      <c r="BI21" s="197"/>
      <c r="BJ21" s="197"/>
      <c r="BK21" s="198"/>
      <c r="BL21" s="147">
        <f t="shared" si="6"/>
        <v>0</v>
      </c>
      <c r="BM21" s="196"/>
      <c r="BN21" s="196"/>
      <c r="BO21" s="199">
        <f t="shared" si="4"/>
        <v>0</v>
      </c>
      <c r="BP21" s="200"/>
      <c r="BR21" s="202" t="str">
        <f>IF($H21="","",VLOOKUP($H21,'Master Data'!$B:$D,3,FALSE))</f>
        <v>Membership &amp; Sponsorship</v>
      </c>
      <c r="BS21" s="202" t="str">
        <f t="shared" si="7"/>
        <v>General Administrative</v>
      </c>
      <c r="BT21" s="202" t="str">
        <f>IF($H21="","",VLOOKUP(VALUE($H21),'Master Data'!B:I,8,FALSE))</f>
        <v>Subscriptions and Periodicals</v>
      </c>
    </row>
    <row r="22" spans="1:72" s="201" customFormat="1" x14ac:dyDescent="0.35">
      <c r="A22" s="178" t="str">
        <f>IF(D22="","",Cover!$D$8)</f>
        <v>Legal &amp; Compliance</v>
      </c>
      <c r="B22" s="132" t="str">
        <f>IF(D22="","",IFERROR(VLOOKUP(G22,'Master Data'!$E$59:$J$144,6,FALSE),0))</f>
        <v>General Counsel</v>
      </c>
      <c r="C22" s="298" t="str">
        <f>IF(D22="","",_xlfn.XLOOKUP(D22,'Activity Master Opex'!C:C,'Activity Master Opex'!B:B,0,0,1))</f>
        <v>CL001-00011</v>
      </c>
      <c r="D22" s="180" t="s">
        <v>584</v>
      </c>
      <c r="E22" s="289">
        <f>IF(D22="","",IFERROR(VLOOKUP(D22,'Activity Master Opex'!$C:$M,6,FALSE),0))</f>
        <v>0</v>
      </c>
      <c r="F22" s="181" t="str">
        <f>IF($C22="","",VLOOKUP($C22,'Activity Master Opex'!$B:$I,3,0))</f>
        <v>10301CL001</v>
      </c>
      <c r="G22" s="179" t="str">
        <f>IF($C22="","",VLOOKUP($F22,'Master Data'!$D$59:$E$144,2,FALSE))</f>
        <v>CORPORATE LEGAL &amp; COMPLIANCE</v>
      </c>
      <c r="H22" s="182">
        <f>IF($C22="","",VLOOKUP($C22,'Activity Master Opex'!$B:$I,5,0))</f>
        <v>61800020</v>
      </c>
      <c r="I22" s="178" t="str">
        <f>IFERROR(VLOOKUP(H22,'Activity Master Opex'!F:G,2,FALSE),"")</f>
        <v>PT Exp. - Postage and Courier</v>
      </c>
      <c r="J22" s="203">
        <f>492*15500</f>
        <v>7626000</v>
      </c>
      <c r="K22" s="183">
        <v>0</v>
      </c>
      <c r="L22" s="184"/>
      <c r="M22" s="184"/>
      <c r="N22" s="184"/>
      <c r="O22" s="184"/>
      <c r="P22" s="184"/>
      <c r="Q22" s="184"/>
      <c r="R22" s="184"/>
      <c r="S22" s="184"/>
      <c r="T22" s="184"/>
      <c r="U22" s="184"/>
      <c r="V22" s="184"/>
      <c r="W22" s="184"/>
      <c r="X22" s="185">
        <f t="shared" si="9"/>
        <v>0</v>
      </c>
      <c r="Y22" s="186"/>
      <c r="Z22" s="142"/>
      <c r="AA22" s="142"/>
      <c r="AB22" s="142"/>
      <c r="AC22" s="142"/>
      <c r="AD22" s="142"/>
      <c r="AE22" s="142"/>
      <c r="AF22" s="142"/>
      <c r="AG22" s="142"/>
      <c r="AH22" s="142"/>
      <c r="AI22" s="142"/>
      <c r="AJ22" s="142"/>
      <c r="AK22" s="142"/>
      <c r="AL22" s="187">
        <f t="shared" si="0"/>
        <v>0</v>
      </c>
      <c r="AM22" s="188"/>
      <c r="AN22" s="142"/>
      <c r="AO22" s="142"/>
      <c r="AP22" s="142"/>
      <c r="AQ22" s="142"/>
      <c r="AR22" s="142"/>
      <c r="AS22" s="142"/>
      <c r="AT22" s="142"/>
      <c r="AU22" s="142"/>
      <c r="AV22" s="142"/>
      <c r="AW22" s="142"/>
      <c r="AX22" s="142"/>
      <c r="AY22" s="142"/>
      <c r="AZ22" s="187">
        <f t="shared" si="1"/>
        <v>0</v>
      </c>
      <c r="BA22" s="189">
        <f t="shared" si="2"/>
        <v>-7626000</v>
      </c>
      <c r="BB22" s="190"/>
      <c r="BC22" s="191">
        <f t="shared" si="3"/>
        <v>0</v>
      </c>
      <c r="BD22" s="192" t="str">
        <f>IF('Budget Opex Detail'!C22="","",IF(COUNTIFS('Activity Master Opex'!$B$4:$B$64,'Budget Opex Detail'!$C22)&gt;0,"","New Activity"))</f>
        <v/>
      </c>
      <c r="BE22" s="193"/>
      <c r="BF22" s="194"/>
      <c r="BG22" s="195"/>
      <c r="BH22" s="196"/>
      <c r="BI22" s="197"/>
      <c r="BJ22" s="197"/>
      <c r="BK22" s="198"/>
      <c r="BL22" s="147">
        <f t="shared" si="6"/>
        <v>0</v>
      </c>
      <c r="BM22" s="196"/>
      <c r="BN22" s="196"/>
      <c r="BO22" s="199">
        <f t="shared" si="4"/>
        <v>0</v>
      </c>
      <c r="BP22" s="200"/>
      <c r="BR22" s="202" t="str">
        <f>IF($H22="","",VLOOKUP($H22,'Master Data'!$B:$D,3,FALSE))</f>
        <v>Postage &amp; Telecom E</v>
      </c>
      <c r="BS22" s="202" t="str">
        <f t="shared" si="7"/>
        <v>General Administrative</v>
      </c>
      <c r="BT22" s="202" t="str">
        <f>IF($H22="","",VLOOKUP(VALUE($H22),'Master Data'!B:I,8,FALSE))</f>
        <v>Postage and telecomunication</v>
      </c>
    </row>
    <row r="23" spans="1:72" s="201" customFormat="1" x14ac:dyDescent="0.35">
      <c r="A23" s="178" t="str">
        <f>IF(D23="","",Cover!$D$8)</f>
        <v>Legal &amp; Compliance</v>
      </c>
      <c r="B23" s="132" t="str">
        <f>IF(D23="","",IFERROR(VLOOKUP(G23,'Master Data'!$E$59:$J$144,6,FALSE),0))</f>
        <v>Compliance &amp; Governance</v>
      </c>
      <c r="C23" s="298" t="str">
        <f>IF(D23="","",_xlfn.XLOOKUP(D23,'Activity Master Opex'!C:C,'Activity Master Opex'!B:B,0,0,1))</f>
        <v>CS001-00001</v>
      </c>
      <c r="D23" s="180" t="s">
        <v>586</v>
      </c>
      <c r="E23" s="289">
        <f>IF(D23="","",IFERROR(VLOOKUP(D23,'Activity Master Opex'!$C:$M,6,FALSE),0))</f>
        <v>0</v>
      </c>
      <c r="F23" s="181" t="str">
        <f>IF($C23="","",VLOOKUP($C23,'Activity Master Opex'!$B:$I,3,0))</f>
        <v>10301CS001</v>
      </c>
      <c r="G23" s="179" t="str">
        <f>IF($C23="","",VLOOKUP($F23,'Master Data'!$D$59:$E$144,2,FALSE))</f>
        <v>CORPORATE SECRETARY</v>
      </c>
      <c r="H23" s="182">
        <f>IF($C23="","",VLOOKUP($C23,'Activity Master Opex'!$B:$I,5,0))</f>
        <v>61700070</v>
      </c>
      <c r="I23" s="178" t="str">
        <f>IFERROR(VLOOKUP(H23,'Activity Master Opex'!F:G,2,FALSE),"")</f>
        <v>RE - Rental Other</v>
      </c>
      <c r="J23" s="203">
        <f>350*15500</f>
        <v>5425000</v>
      </c>
      <c r="K23" s="183">
        <v>0</v>
      </c>
      <c r="L23" s="184"/>
      <c r="M23" s="184"/>
      <c r="N23" s="184"/>
      <c r="O23" s="184"/>
      <c r="P23" s="184"/>
      <c r="Q23" s="184"/>
      <c r="R23" s="184"/>
      <c r="S23" s="184"/>
      <c r="T23" s="184"/>
      <c r="U23" s="184"/>
      <c r="V23" s="184"/>
      <c r="W23" s="184"/>
      <c r="X23" s="185">
        <f t="shared" si="9"/>
        <v>0</v>
      </c>
      <c r="Y23" s="186"/>
      <c r="Z23" s="142"/>
      <c r="AA23" s="142"/>
      <c r="AB23" s="142"/>
      <c r="AC23" s="142"/>
      <c r="AD23" s="142"/>
      <c r="AE23" s="142"/>
      <c r="AF23" s="142"/>
      <c r="AG23" s="142"/>
      <c r="AH23" s="142"/>
      <c r="AI23" s="142"/>
      <c r="AJ23" s="142"/>
      <c r="AK23" s="142"/>
      <c r="AL23" s="187">
        <f t="shared" si="0"/>
        <v>0</v>
      </c>
      <c r="AM23" s="188"/>
      <c r="AN23" s="142"/>
      <c r="AO23" s="142"/>
      <c r="AP23" s="142"/>
      <c r="AQ23" s="142"/>
      <c r="AR23" s="142"/>
      <c r="AS23" s="142"/>
      <c r="AT23" s="142"/>
      <c r="AU23" s="142"/>
      <c r="AV23" s="142"/>
      <c r="AW23" s="142"/>
      <c r="AX23" s="142"/>
      <c r="AY23" s="142"/>
      <c r="AZ23" s="187">
        <f t="shared" si="1"/>
        <v>0</v>
      </c>
      <c r="BA23" s="189">
        <f t="shared" si="2"/>
        <v>-5425000</v>
      </c>
      <c r="BB23" s="190"/>
      <c r="BC23" s="191">
        <f t="shared" si="3"/>
        <v>0</v>
      </c>
      <c r="BD23" s="192" t="str">
        <f>IF('Budget Opex Detail'!C23="","",IF(COUNTIFS('Activity Master Opex'!$B$4:$B$64,'Budget Opex Detail'!$C23)&gt;0,"","New Activity"))</f>
        <v/>
      </c>
      <c r="BE23" s="193"/>
      <c r="BF23" s="194"/>
      <c r="BG23" s="195"/>
      <c r="BH23" s="196"/>
      <c r="BI23" s="197"/>
      <c r="BJ23" s="197"/>
      <c r="BK23" s="198"/>
      <c r="BL23" s="147">
        <f t="shared" si="6"/>
        <v>0</v>
      </c>
      <c r="BM23" s="196"/>
      <c r="BN23" s="196"/>
      <c r="BO23" s="199">
        <f t="shared" si="4"/>
        <v>0</v>
      </c>
      <c r="BP23" s="200"/>
      <c r="BR23" s="202" t="str">
        <f>IF($H23="","",VLOOKUP($H23,'Master Data'!$B:$D,3,FALSE))</f>
        <v>Rental Expenses</v>
      </c>
      <c r="BS23" s="202" t="str">
        <f t="shared" si="7"/>
        <v>General Administrative</v>
      </c>
      <c r="BT23" s="202" t="str">
        <f>IF($H23="","",VLOOKUP(VALUE($H23),'Master Data'!B:I,8,FALSE))</f>
        <v>Rental</v>
      </c>
    </row>
    <row r="24" spans="1:72" s="201" customFormat="1" x14ac:dyDescent="0.35">
      <c r="A24" s="178" t="str">
        <f>IF(D24="","",Cover!$D$8)</f>
        <v>Legal &amp; Compliance</v>
      </c>
      <c r="B24" s="132" t="str">
        <f>IF(D24="","",IFERROR(VLOOKUP(G24,'Master Data'!$E$59:$J$144,6,FALSE),0))</f>
        <v>Compliance &amp; Governance</v>
      </c>
      <c r="C24" s="298" t="str">
        <f>IF(D24="","",_xlfn.XLOOKUP(D24,'Activity Master Opex'!C:C,'Activity Master Opex'!B:B,0,0,1))</f>
        <v>CS001-00012</v>
      </c>
      <c r="D24" s="180" t="s">
        <v>564</v>
      </c>
      <c r="E24" s="289">
        <f>IF(D24="","",IFERROR(VLOOKUP(D24,'Activity Master Opex'!$C:$M,6,FALSE),0))</f>
        <v>0</v>
      </c>
      <c r="F24" s="181" t="str">
        <f>IF($C24="","",VLOOKUP($C24,'Activity Master Opex'!$B:$I,3,0))</f>
        <v>10301CS001</v>
      </c>
      <c r="G24" s="179" t="str">
        <f>IF($C24="","",VLOOKUP($F24,'Master Data'!$D$59:$E$144,2,FALSE))</f>
        <v>CORPORATE SECRETARY</v>
      </c>
      <c r="H24" s="182">
        <f>IF($C24="","",VLOOKUP($C24,'Activity Master Opex'!$B:$I,5,0))</f>
        <v>62200020</v>
      </c>
      <c r="I24" s="178" t="str">
        <f>IFERROR(VLOOKUP(H24,'Activity Master Opex'!F:G,2,FALSE),"")</f>
        <v>Printing and Supplies Expenses</v>
      </c>
      <c r="J24" s="183">
        <f>141*15500</f>
        <v>2185500</v>
      </c>
      <c r="K24" s="183">
        <v>0</v>
      </c>
      <c r="L24" s="184"/>
      <c r="M24" s="184"/>
      <c r="N24" s="184"/>
      <c r="O24" s="184"/>
      <c r="P24" s="184"/>
      <c r="Q24" s="184"/>
      <c r="R24" s="184"/>
      <c r="S24" s="184"/>
      <c r="T24" s="184"/>
      <c r="U24" s="184"/>
      <c r="V24" s="184"/>
      <c r="W24" s="184"/>
      <c r="X24" s="185">
        <f t="shared" si="9"/>
        <v>0</v>
      </c>
      <c r="Y24" s="186"/>
      <c r="Z24" s="142"/>
      <c r="AA24" s="142"/>
      <c r="AB24" s="142"/>
      <c r="AC24" s="142"/>
      <c r="AD24" s="142"/>
      <c r="AE24" s="142"/>
      <c r="AF24" s="142"/>
      <c r="AG24" s="142"/>
      <c r="AH24" s="142"/>
      <c r="AI24" s="142"/>
      <c r="AJ24" s="142"/>
      <c r="AK24" s="142"/>
      <c r="AL24" s="187">
        <f t="shared" si="0"/>
        <v>0</v>
      </c>
      <c r="AM24" s="188"/>
      <c r="AN24" s="142"/>
      <c r="AO24" s="142"/>
      <c r="AP24" s="142"/>
      <c r="AQ24" s="142"/>
      <c r="AR24" s="142"/>
      <c r="AS24" s="142"/>
      <c r="AT24" s="142"/>
      <c r="AU24" s="142"/>
      <c r="AV24" s="142"/>
      <c r="AW24" s="142"/>
      <c r="AX24" s="142"/>
      <c r="AY24" s="142"/>
      <c r="AZ24" s="187">
        <f t="shared" si="1"/>
        <v>0</v>
      </c>
      <c r="BA24" s="189">
        <f t="shared" si="2"/>
        <v>-2185500</v>
      </c>
      <c r="BB24" s="190"/>
      <c r="BC24" s="191">
        <f t="shared" si="3"/>
        <v>0</v>
      </c>
      <c r="BD24" s="192" t="str">
        <f>IF('Budget Opex Detail'!C24="","",IF(COUNTIFS('Activity Master Opex'!$B$4:$B$64,'Budget Opex Detail'!$C24)&gt;0,"","New Activity"))</f>
        <v/>
      </c>
      <c r="BE24" s="193"/>
      <c r="BF24" s="194"/>
      <c r="BG24" s="195"/>
      <c r="BH24" s="196"/>
      <c r="BI24" s="197"/>
      <c r="BJ24" s="197"/>
      <c r="BK24" s="198"/>
      <c r="BL24" s="147">
        <f t="shared" si="6"/>
        <v>0</v>
      </c>
      <c r="BM24" s="196"/>
      <c r="BN24" s="196"/>
      <c r="BO24" s="199">
        <f t="shared" si="4"/>
        <v>0</v>
      </c>
      <c r="BP24" s="200"/>
      <c r="BR24" s="202" t="str">
        <f>IF($H24="","",VLOOKUP($H24,'Master Data'!$B:$D,3,FALSE))</f>
        <v>Stationery &amp; Supplies Expe</v>
      </c>
      <c r="BS24" s="202" t="str">
        <f t="shared" si="7"/>
        <v>General Administrative</v>
      </c>
      <c r="BT24" s="202" t="str">
        <f>IF($H24="","",VLOOKUP(VALUE($H24),'Master Data'!B:I,8,FALSE))</f>
        <v>Stationery and supplies</v>
      </c>
    </row>
    <row r="25" spans="1:72" s="201" customFormat="1" x14ac:dyDescent="0.35">
      <c r="A25" s="178" t="str">
        <f>IF(D25="","",Cover!$D$8)</f>
        <v>Legal &amp; Compliance</v>
      </c>
      <c r="B25" s="132" t="str">
        <f>IF(D25="","",IFERROR(VLOOKUP(G25,'Master Data'!$E$59:$J$144,6,FALSE),0))</f>
        <v>Compliance &amp; Governance</v>
      </c>
      <c r="C25" s="298" t="str">
        <f>IF(D25="","",_xlfn.XLOOKUP(D25,'Activity Master Opex'!C:C,'Activity Master Opex'!B:B,0,0,1))</f>
        <v>CS001-00013</v>
      </c>
      <c r="D25" s="180" t="s">
        <v>565</v>
      </c>
      <c r="E25" s="289">
        <f>IF(D25="","",IFERROR(VLOOKUP(D25,'Activity Master Opex'!$C:$M,6,FALSE),0))</f>
        <v>0</v>
      </c>
      <c r="F25" s="181" t="str">
        <f>IF($C25="","",VLOOKUP($C25,'Activity Master Opex'!$B:$I,3,0))</f>
        <v>10301CS001</v>
      </c>
      <c r="G25" s="179" t="str">
        <f>IF($C25="","",VLOOKUP($F25,'Master Data'!$D$59:$E$144,2,FALSE))</f>
        <v>CORPORATE SECRETARY</v>
      </c>
      <c r="H25" s="182">
        <f>IF($C25="","",VLOOKUP($C25,'Activity Master Opex'!$B:$I,5,0))</f>
        <v>62300020</v>
      </c>
      <c r="I25" s="178" t="str">
        <f>IFERROR(VLOOKUP(H25,'Activity Master Opex'!F:G,2,FALSE),"")</f>
        <v>Ceremony Expenses</v>
      </c>
      <c r="J25" s="183">
        <f>160*15500</f>
        <v>2480000</v>
      </c>
      <c r="K25" s="183">
        <v>0</v>
      </c>
      <c r="L25" s="184"/>
      <c r="M25" s="184"/>
      <c r="N25" s="184"/>
      <c r="O25" s="184"/>
      <c r="P25" s="184"/>
      <c r="Q25" s="184"/>
      <c r="R25" s="184"/>
      <c r="S25" s="184"/>
      <c r="T25" s="184"/>
      <c r="U25" s="184"/>
      <c r="V25" s="184"/>
      <c r="W25" s="184"/>
      <c r="X25" s="185">
        <f t="shared" si="9"/>
        <v>0</v>
      </c>
      <c r="Y25" s="186"/>
      <c r="Z25" s="142"/>
      <c r="AA25" s="142"/>
      <c r="AB25" s="142"/>
      <c r="AC25" s="142"/>
      <c r="AD25" s="142"/>
      <c r="AE25" s="142"/>
      <c r="AF25" s="142"/>
      <c r="AG25" s="142"/>
      <c r="AH25" s="142"/>
      <c r="AI25" s="142"/>
      <c r="AJ25" s="142"/>
      <c r="AK25" s="142"/>
      <c r="AL25" s="187">
        <f t="shared" si="0"/>
        <v>0</v>
      </c>
      <c r="AM25" s="188"/>
      <c r="AN25" s="142"/>
      <c r="AO25" s="142"/>
      <c r="AP25" s="142"/>
      <c r="AQ25" s="142"/>
      <c r="AR25" s="142"/>
      <c r="AS25" s="142"/>
      <c r="AT25" s="142"/>
      <c r="AU25" s="142"/>
      <c r="AV25" s="142"/>
      <c r="AW25" s="142"/>
      <c r="AX25" s="142"/>
      <c r="AY25" s="142"/>
      <c r="AZ25" s="187">
        <f t="shared" si="1"/>
        <v>0</v>
      </c>
      <c r="BA25" s="189">
        <f t="shared" si="2"/>
        <v>-2480000</v>
      </c>
      <c r="BB25" s="190"/>
      <c r="BC25" s="191">
        <f t="shared" si="3"/>
        <v>0</v>
      </c>
      <c r="BD25" s="192" t="str">
        <f>IF('Budget Opex Detail'!C25="","",IF(COUNTIFS('Activity Master Opex'!$B$4:$B$64,'Budget Opex Detail'!$C25)&gt;0,"","New Activity"))</f>
        <v/>
      </c>
      <c r="BE25" s="193"/>
      <c r="BF25" s="194"/>
      <c r="BG25" s="195"/>
      <c r="BH25" s="196"/>
      <c r="BI25" s="197"/>
      <c r="BJ25" s="197"/>
      <c r="BK25" s="198"/>
      <c r="BL25" s="147">
        <f t="shared" si="6"/>
        <v>0</v>
      </c>
      <c r="BM25" s="196"/>
      <c r="BN25" s="196"/>
      <c r="BO25" s="199">
        <f t="shared" si="4"/>
        <v>0</v>
      </c>
      <c r="BP25" s="200"/>
      <c r="BR25" s="202" t="str">
        <f>IF($H25="","",VLOOKUP($H25,'Master Data'!$B:$D,3,FALSE))</f>
        <v>Meeting &amp; Ceremony Expense</v>
      </c>
      <c r="BS25" s="202" t="str">
        <f t="shared" si="7"/>
        <v>General Administrative</v>
      </c>
      <c r="BT25" s="202" t="str">
        <f>IF($H25="","",VLOOKUP(VALUE($H25),'Master Data'!B:I,8,FALSE))</f>
        <v>Meeting and ceremony</v>
      </c>
    </row>
    <row r="26" spans="1:72" s="201" customFormat="1" x14ac:dyDescent="0.35">
      <c r="A26" s="178" t="str">
        <f>IF(D26="","",Cover!$D$8)</f>
        <v>Legal &amp; Compliance</v>
      </c>
      <c r="B26" s="132" t="str">
        <f>IF(D26="","",IFERROR(VLOOKUP(G26,'Master Data'!$E$59:$J$144,6,FALSE),0))</f>
        <v>General Counsel</v>
      </c>
      <c r="C26" s="298" t="str">
        <f>IF(D26="","",_xlfn.XLOOKUP(D26,'Activity Master Opex'!C:C,'Activity Master Opex'!B:B,0,0,1))</f>
        <v>CL001-00017</v>
      </c>
      <c r="D26" s="180" t="s">
        <v>566</v>
      </c>
      <c r="E26" s="289">
        <f>IF(D26="","",IFERROR(VLOOKUP(D26,'Activity Master Opex'!$C:$M,6,FALSE),0))</f>
        <v>0</v>
      </c>
      <c r="F26" s="181" t="str">
        <f>IF($C26="","",VLOOKUP($C26,'Activity Master Opex'!$B:$I,3,0))</f>
        <v>10301CL001</v>
      </c>
      <c r="G26" s="179" t="str">
        <f>IF($C26="","",VLOOKUP($F26,'Master Data'!$D$59:$E$144,2,FALSE))</f>
        <v>CORPORATE LEGAL &amp; COMPLIANCE</v>
      </c>
      <c r="H26" s="182">
        <f>IF($C26="","",VLOOKUP($C26,'Activity Master Opex'!$B:$I,5,0))</f>
        <v>61600070</v>
      </c>
      <c r="I26" s="178" t="str">
        <f>IFERROR(VLOOKUP(H26,'Activity Master Opex'!F:G,2,FALSE),"")</f>
        <v>Ins. Exp. - Insurance Others</v>
      </c>
      <c r="J26" s="183">
        <f>17400*15500</f>
        <v>269700000</v>
      </c>
      <c r="K26" s="183">
        <v>47850000</v>
      </c>
      <c r="L26" s="184"/>
      <c r="M26" s="184"/>
      <c r="N26" s="184"/>
      <c r="O26" s="184"/>
      <c r="P26" s="184"/>
      <c r="Q26" s="184"/>
      <c r="R26" s="184"/>
      <c r="S26" s="184"/>
      <c r="T26" s="184"/>
      <c r="U26" s="184"/>
      <c r="V26" s="184"/>
      <c r="W26" s="184"/>
      <c r="X26" s="185">
        <f t="shared" si="9"/>
        <v>0</v>
      </c>
      <c r="Y26" s="186"/>
      <c r="Z26" s="142"/>
      <c r="AA26" s="142"/>
      <c r="AB26" s="142"/>
      <c r="AC26" s="142"/>
      <c r="AD26" s="142"/>
      <c r="AE26" s="142"/>
      <c r="AF26" s="142"/>
      <c r="AG26" s="142"/>
      <c r="AH26" s="142"/>
      <c r="AI26" s="142"/>
      <c r="AJ26" s="142"/>
      <c r="AK26" s="142"/>
      <c r="AL26" s="187">
        <f t="shared" si="0"/>
        <v>0</v>
      </c>
      <c r="AM26" s="188"/>
      <c r="AN26" s="142"/>
      <c r="AO26" s="142"/>
      <c r="AP26" s="142"/>
      <c r="AQ26" s="142"/>
      <c r="AR26" s="142"/>
      <c r="AS26" s="142"/>
      <c r="AT26" s="142"/>
      <c r="AU26" s="142"/>
      <c r="AV26" s="142"/>
      <c r="AW26" s="142"/>
      <c r="AX26" s="142"/>
      <c r="AY26" s="142"/>
      <c r="AZ26" s="187">
        <f t="shared" si="1"/>
        <v>0</v>
      </c>
      <c r="BA26" s="189">
        <f t="shared" si="2"/>
        <v>-269700000</v>
      </c>
      <c r="BB26" s="190"/>
      <c r="BC26" s="191">
        <f t="shared" si="3"/>
        <v>0</v>
      </c>
      <c r="BD26" s="192" t="str">
        <f>IF('Budget Opex Detail'!C26="","",IF(COUNTIFS('Activity Master Opex'!$B$4:$B$64,'Budget Opex Detail'!$C26)&gt;0,"","New Activity"))</f>
        <v/>
      </c>
      <c r="BE26" s="193"/>
      <c r="BF26" s="194"/>
      <c r="BG26" s="195"/>
      <c r="BH26" s="196"/>
      <c r="BI26" s="197"/>
      <c r="BJ26" s="197"/>
      <c r="BK26" s="198"/>
      <c r="BL26" s="147">
        <f t="shared" si="6"/>
        <v>0</v>
      </c>
      <c r="BM26" s="196"/>
      <c r="BN26" s="196"/>
      <c r="BO26" s="199">
        <f t="shared" si="4"/>
        <v>0</v>
      </c>
      <c r="BP26" s="200"/>
      <c r="BR26" s="202" t="str">
        <f>IF($H26="","",VLOOKUP($H26,'Master Data'!$B:$D,3,FALSE))</f>
        <v>Insurance Expenses</v>
      </c>
      <c r="BS26" s="202" t="str">
        <f t="shared" si="7"/>
        <v>General Administrative</v>
      </c>
      <c r="BT26" s="202" t="str">
        <f>IF($H26="","",VLOOKUP(VALUE($H26),'Master Data'!B:I,8,FALSE))</f>
        <v>Insurance</v>
      </c>
    </row>
    <row r="27" spans="1:72" s="201" customFormat="1" x14ac:dyDescent="0.35">
      <c r="A27" s="178" t="str">
        <f>IF(D27="","",Cover!$D$8)</f>
        <v>Legal &amp; Compliance</v>
      </c>
      <c r="B27" s="132" t="str">
        <f>IF(D27="","",IFERROR(VLOOKUP(G27,'Master Data'!$E$59:$J$144,6,FALSE),0))</f>
        <v>Permit &amp; Licensing</v>
      </c>
      <c r="C27" s="298" t="str">
        <f>IF(D27="","",_xlfn.XLOOKUP(D27,'Activity Master Opex'!C:C,'Activity Master Opex'!B:B,0,0,1))</f>
        <v>MS005-00004</v>
      </c>
      <c r="D27" s="180" t="s">
        <v>461</v>
      </c>
      <c r="E27" s="289">
        <f>IF(D27="","",IFERROR(VLOOKUP(D27,'Activity Master Opex'!$C:$M,6,FALSE),0))</f>
        <v>0</v>
      </c>
      <c r="F27" s="181" t="str">
        <f>IF($C27="","",VLOOKUP($C27,'Activity Master Opex'!$B:$I,3,0))</f>
        <v>10301MS005</v>
      </c>
      <c r="G27" s="179" t="str">
        <f>IF($C27="","",VLOOKUP($F27,'Master Data'!$D$59:$E$144,2,FALSE))</f>
        <v>LAND MANAGEMENT</v>
      </c>
      <c r="H27" s="182">
        <f>IF($C27="","",VLOOKUP($C27,'Activity Master Opex'!$B:$I,5,0))</f>
        <v>62100010</v>
      </c>
      <c r="I27" s="178" t="str">
        <f>IFERROR(VLOOKUP(H27,'Activity Master Opex'!F:G,2,FALSE),"")</f>
        <v>TL - Land and Property Tax</v>
      </c>
      <c r="J27" s="183">
        <f>91721*15500</f>
        <v>1421675500</v>
      </c>
      <c r="K27" s="183">
        <v>1366869673</v>
      </c>
      <c r="L27" s="184"/>
      <c r="M27" s="184"/>
      <c r="N27" s="184"/>
      <c r="O27" s="184"/>
      <c r="P27" s="184"/>
      <c r="Q27" s="184"/>
      <c r="R27" s="184"/>
      <c r="S27" s="184"/>
      <c r="T27" s="184"/>
      <c r="U27" s="184"/>
      <c r="V27" s="184"/>
      <c r="W27" s="184"/>
      <c r="X27" s="185">
        <f t="shared" si="9"/>
        <v>0</v>
      </c>
      <c r="Y27" s="186"/>
      <c r="Z27" s="142"/>
      <c r="AA27" s="142"/>
      <c r="AB27" s="142"/>
      <c r="AC27" s="142"/>
      <c r="AD27" s="142"/>
      <c r="AE27" s="142"/>
      <c r="AF27" s="142"/>
      <c r="AG27" s="142"/>
      <c r="AH27" s="142"/>
      <c r="AI27" s="142"/>
      <c r="AJ27" s="142"/>
      <c r="AK27" s="142"/>
      <c r="AL27" s="187">
        <f t="shared" si="0"/>
        <v>0</v>
      </c>
      <c r="AM27" s="188"/>
      <c r="AN27" s="142"/>
      <c r="AO27" s="142"/>
      <c r="AP27" s="142"/>
      <c r="AQ27" s="142"/>
      <c r="AR27" s="142"/>
      <c r="AS27" s="142"/>
      <c r="AT27" s="142"/>
      <c r="AU27" s="142"/>
      <c r="AV27" s="142"/>
      <c r="AW27" s="142"/>
      <c r="AX27" s="142"/>
      <c r="AY27" s="142"/>
      <c r="AZ27" s="187">
        <f t="shared" si="1"/>
        <v>0</v>
      </c>
      <c r="BA27" s="189">
        <f t="shared" si="2"/>
        <v>-1421675500</v>
      </c>
      <c r="BB27" s="190"/>
      <c r="BC27" s="191">
        <f t="shared" si="3"/>
        <v>0</v>
      </c>
      <c r="BD27" s="192" t="str">
        <f>IF('Budget Opex Detail'!C27="","",IF(COUNTIFS('Activity Master Opex'!$B$4:$B$64,'Budget Opex Detail'!$C27)&gt;0,"","New Activity"))</f>
        <v/>
      </c>
      <c r="BE27" s="193"/>
      <c r="BF27" s="194"/>
      <c r="BG27" s="195"/>
      <c r="BH27" s="196"/>
      <c r="BI27" s="197"/>
      <c r="BJ27" s="197"/>
      <c r="BK27" s="198"/>
      <c r="BL27" s="147">
        <f t="shared" si="6"/>
        <v>0</v>
      </c>
      <c r="BM27" s="196"/>
      <c r="BN27" s="196"/>
      <c r="BO27" s="199">
        <f t="shared" si="4"/>
        <v>0</v>
      </c>
      <c r="BP27" s="200"/>
      <c r="BR27" s="202" t="str">
        <f>IF($H27="","",VLOOKUP($H27,'Master Data'!$B:$D,3,FALSE))</f>
        <v>Tax and Licenses Expenses</v>
      </c>
      <c r="BS27" s="202" t="str">
        <f t="shared" si="7"/>
        <v>General Administrative</v>
      </c>
      <c r="BT27" s="202" t="str">
        <f>IF($H27="","",VLOOKUP(VALUE($H27),'Master Data'!B:I,8,FALSE))</f>
        <v>Tax and license</v>
      </c>
    </row>
    <row r="28" spans="1:72" s="201" customFormat="1" x14ac:dyDescent="0.35">
      <c r="A28" s="178" t="str">
        <f>IF(D28="","",Cover!$D$8)</f>
        <v>Legal &amp; Compliance</v>
      </c>
      <c r="B28" s="132" t="str">
        <f>IF(D28="","",IFERROR(VLOOKUP(G28,'Master Data'!$E$59:$J$144,6,FALSE),0))</f>
        <v>General Counsel</v>
      </c>
      <c r="C28" s="298" t="str">
        <f>IF(D28="","",_xlfn.XLOOKUP(D28,'Activity Master Opex'!C:C,'Activity Master Opex'!B:B,0,0,1))</f>
        <v>CL001-00018</v>
      </c>
      <c r="D28" s="180" t="s">
        <v>567</v>
      </c>
      <c r="E28" s="289">
        <f>IF(D28="","",IFERROR(VLOOKUP(D28,'Activity Master Opex'!$C:$M,6,FALSE),0))</f>
        <v>0</v>
      </c>
      <c r="F28" s="181" t="str">
        <f>IF($C28="","",VLOOKUP($C28,'Activity Master Opex'!$B:$I,3,0))</f>
        <v>10301CL001</v>
      </c>
      <c r="G28" s="179" t="str">
        <f>IF($C28="","",VLOOKUP($F28,'Master Data'!$D$59:$E$144,2,FALSE))</f>
        <v>CORPORATE LEGAL &amp; COMPLIANCE</v>
      </c>
      <c r="H28" s="182">
        <f>IF($C28="","",VLOOKUP($C28,'Activity Master Opex'!$B:$I,5,0))</f>
        <v>61600070</v>
      </c>
      <c r="I28" s="178" t="str">
        <f>IFERROR(VLOOKUP(H28,'Activity Master Opex'!F:G,2,FALSE),"")</f>
        <v>Ins. Exp. - Insurance Others</v>
      </c>
      <c r="J28" s="183">
        <f>50000*15500</f>
        <v>775000000</v>
      </c>
      <c r="K28" s="183">
        <v>0</v>
      </c>
      <c r="L28" s="184"/>
      <c r="M28" s="184"/>
      <c r="N28" s="184"/>
      <c r="O28" s="184"/>
      <c r="P28" s="184"/>
      <c r="Q28" s="184"/>
      <c r="R28" s="184"/>
      <c r="S28" s="184"/>
      <c r="T28" s="184"/>
      <c r="U28" s="184"/>
      <c r="V28" s="184"/>
      <c r="W28" s="184"/>
      <c r="X28" s="185">
        <f t="shared" si="9"/>
        <v>0</v>
      </c>
      <c r="Y28" s="186"/>
      <c r="Z28" s="142"/>
      <c r="AA28" s="142"/>
      <c r="AB28" s="142"/>
      <c r="AC28" s="142"/>
      <c r="AD28" s="142"/>
      <c r="AE28" s="142"/>
      <c r="AF28" s="142"/>
      <c r="AG28" s="142"/>
      <c r="AH28" s="142"/>
      <c r="AI28" s="142"/>
      <c r="AJ28" s="142"/>
      <c r="AK28" s="142"/>
      <c r="AL28" s="187">
        <f t="shared" si="0"/>
        <v>0</v>
      </c>
      <c r="AM28" s="188"/>
      <c r="AN28" s="142"/>
      <c r="AO28" s="142"/>
      <c r="AP28" s="142"/>
      <c r="AQ28" s="142"/>
      <c r="AR28" s="142"/>
      <c r="AS28" s="142"/>
      <c r="AT28" s="142"/>
      <c r="AU28" s="142"/>
      <c r="AV28" s="142"/>
      <c r="AW28" s="142"/>
      <c r="AX28" s="142"/>
      <c r="AY28" s="142"/>
      <c r="AZ28" s="187">
        <f t="shared" si="1"/>
        <v>0</v>
      </c>
      <c r="BA28" s="189">
        <f t="shared" si="2"/>
        <v>-775000000</v>
      </c>
      <c r="BB28" s="190"/>
      <c r="BC28" s="191">
        <f t="shared" si="3"/>
        <v>0</v>
      </c>
      <c r="BD28" s="192" t="str">
        <f>IF('Budget Opex Detail'!C28="","",IF(COUNTIFS('Activity Master Opex'!$B$4:$B$64,'Budget Opex Detail'!$C28)&gt;0,"","New Activity"))</f>
        <v/>
      </c>
      <c r="BE28" s="193"/>
      <c r="BF28" s="194"/>
      <c r="BG28" s="195"/>
      <c r="BH28" s="196"/>
      <c r="BI28" s="197"/>
      <c r="BJ28" s="197"/>
      <c r="BK28" s="198"/>
      <c r="BL28" s="147">
        <f t="shared" si="6"/>
        <v>0</v>
      </c>
      <c r="BM28" s="196"/>
      <c r="BN28" s="196"/>
      <c r="BO28" s="199">
        <f t="shared" si="4"/>
        <v>0</v>
      </c>
      <c r="BP28" s="200"/>
      <c r="BR28" s="202" t="str">
        <f>IF($H28="","",VLOOKUP($H28,'Master Data'!$B:$D,3,FALSE))</f>
        <v>Insurance Expenses</v>
      </c>
      <c r="BS28" s="202" t="str">
        <f t="shared" si="7"/>
        <v>General Administrative</v>
      </c>
      <c r="BT28" s="202" t="str">
        <f>IF($H28="","",VLOOKUP(VALUE($H28),'Master Data'!B:I,8,FALSE))</f>
        <v>Insurance</v>
      </c>
    </row>
    <row r="29" spans="1:72" s="201" customFormat="1" x14ac:dyDescent="0.35">
      <c r="A29" s="178" t="str">
        <f>IF(D29="","",Cover!$D$8)</f>
        <v>Legal &amp; Compliance</v>
      </c>
      <c r="B29" s="132" t="str">
        <f>IF(D29="","",IFERROR(VLOOKUP(G29,'Master Data'!$E$59:$J$144,6,FALSE),0))</f>
        <v>Permit &amp; Licensing</v>
      </c>
      <c r="C29" s="298" t="str">
        <f>IF(D29="","",_xlfn.XLOOKUP(D29,'Activity Master Opex'!C:C,'Activity Master Opex'!B:B,0,0,1))</f>
        <v>MS008-00044</v>
      </c>
      <c r="D29" s="180" t="s">
        <v>568</v>
      </c>
      <c r="E29" s="289" t="str">
        <f>IF(D29="","",IFERROR(VLOOKUP(D29,'Activity Master Opex'!$C:$M,6,FALSE),0))</f>
        <v>Consultant's annual fee for providing expert guidance on safeguard compliance and regulatory strategies for PT Garuda Yamato Steel, ensuring adherence to industry standards and legal protections.</v>
      </c>
      <c r="F29" s="181" t="str">
        <f>IF($C29="","",VLOOKUP($C29,'Activity Master Opex'!$B:$I,3,0))</f>
        <v>10301MS008</v>
      </c>
      <c r="G29" s="179" t="str">
        <f>IF($C29="","",VLOOKUP($F29,'Master Data'!$D$59:$E$144,2,FALSE))</f>
        <v>LICENSES &amp; PERMITS</v>
      </c>
      <c r="H29" s="182">
        <f>IF($C29="","",VLOOKUP($C29,'Activity Master Opex'!$B:$I,5,0))</f>
        <v>61900090</v>
      </c>
      <c r="I29" s="178" t="str">
        <f>IFERROR(VLOOKUP(H29,'Activity Master Opex'!F:G,2,FALSE),"")</f>
        <v>PF - Other Professional Fees</v>
      </c>
      <c r="J29" s="183">
        <f>64517*15500</f>
        <v>1000013500</v>
      </c>
      <c r="K29" s="183">
        <v>0</v>
      </c>
      <c r="L29" s="184"/>
      <c r="M29" s="184"/>
      <c r="N29" s="184"/>
      <c r="O29" s="184"/>
      <c r="P29" s="184"/>
      <c r="Q29" s="184"/>
      <c r="R29" s="184"/>
      <c r="S29" s="184"/>
      <c r="T29" s="184"/>
      <c r="U29" s="184"/>
      <c r="V29" s="184"/>
      <c r="W29" s="184"/>
      <c r="X29" s="185">
        <f t="shared" si="9"/>
        <v>0</v>
      </c>
      <c r="Y29" s="186"/>
      <c r="Z29" s="142"/>
      <c r="AA29" s="142"/>
      <c r="AB29" s="142"/>
      <c r="AC29" s="142"/>
      <c r="AD29" s="142"/>
      <c r="AE29" s="142"/>
      <c r="AF29" s="142"/>
      <c r="AG29" s="142"/>
      <c r="AH29" s="142"/>
      <c r="AI29" s="142"/>
      <c r="AJ29" s="142"/>
      <c r="AK29" s="142"/>
      <c r="AL29" s="187">
        <f t="shared" si="0"/>
        <v>0</v>
      </c>
      <c r="AM29" s="188"/>
      <c r="AN29" s="142"/>
      <c r="AO29" s="142"/>
      <c r="AP29" s="142"/>
      <c r="AQ29" s="142"/>
      <c r="AR29" s="142"/>
      <c r="AS29" s="142"/>
      <c r="AT29" s="142"/>
      <c r="AU29" s="142"/>
      <c r="AV29" s="142"/>
      <c r="AW29" s="142"/>
      <c r="AX29" s="142"/>
      <c r="AY29" s="142"/>
      <c r="AZ29" s="187">
        <f t="shared" si="1"/>
        <v>0</v>
      </c>
      <c r="BA29" s="189">
        <f t="shared" si="2"/>
        <v>-1000013500</v>
      </c>
      <c r="BB29" s="190"/>
      <c r="BC29" s="191">
        <f t="shared" si="3"/>
        <v>0</v>
      </c>
      <c r="BD29" s="192" t="str">
        <f>IF('Budget Opex Detail'!C29="","",IF(COUNTIFS('Activity Master Opex'!$B$4:$B$64,'Budget Opex Detail'!$C29)&gt;0,"","New Activity"))</f>
        <v/>
      </c>
      <c r="BE29" s="193"/>
      <c r="BF29" s="194"/>
      <c r="BG29" s="195"/>
      <c r="BH29" s="196"/>
      <c r="BI29" s="197"/>
      <c r="BJ29" s="197"/>
      <c r="BK29" s="198"/>
      <c r="BL29" s="147">
        <f t="shared" si="6"/>
        <v>0</v>
      </c>
      <c r="BM29" s="196"/>
      <c r="BN29" s="196"/>
      <c r="BO29" s="199">
        <f t="shared" si="4"/>
        <v>0</v>
      </c>
      <c r="BP29" s="200"/>
      <c r="BR29" s="202" t="str">
        <f>IF($H29="","",VLOOKUP($H29,'Master Data'!$B:$D,3,FALSE))</f>
        <v>Professional Fees</v>
      </c>
      <c r="BS29" s="202" t="str">
        <f t="shared" si="7"/>
        <v>General Administrative</v>
      </c>
      <c r="BT29" s="202" t="str">
        <f>IF($H29="","",VLOOKUP(VALUE($H29),'Master Data'!B:I,8,FALSE))</f>
        <v>Professional fees</v>
      </c>
    </row>
    <row r="30" spans="1:72" s="201" customFormat="1" x14ac:dyDescent="0.35">
      <c r="A30" s="178" t="str">
        <f>IF(D30="","",Cover!$D$8)</f>
        <v>Legal &amp; Compliance</v>
      </c>
      <c r="B30" s="132" t="str">
        <f>IF(D30="","",IFERROR(VLOOKUP(G30,'Master Data'!$E$59:$J$144,6,FALSE),0))</f>
        <v>General Counsel</v>
      </c>
      <c r="C30" s="298" t="str">
        <f>IF(D30="","",_xlfn.XLOOKUP(D30,'Activity Master Opex'!C:C,'Activity Master Opex'!B:B,0,0,1))</f>
        <v>CL001-00007</v>
      </c>
      <c r="D30" s="180" t="s">
        <v>569</v>
      </c>
      <c r="E30" s="289">
        <f>IF(D30="","",IFERROR(VLOOKUP(D30,'Activity Master Opex'!$C:$M,6,FALSE),0))</f>
        <v>0</v>
      </c>
      <c r="F30" s="181" t="str">
        <f>IF($C30="","",VLOOKUP($C30,'Activity Master Opex'!$B:$I,3,0))</f>
        <v>10301CL001</v>
      </c>
      <c r="G30" s="179" t="str">
        <f>IF($C30="","",VLOOKUP($F30,'Master Data'!$D$59:$E$144,2,FALSE))</f>
        <v>CORPORATE LEGAL &amp; COMPLIANCE</v>
      </c>
      <c r="H30" s="182">
        <f>IF($C30="","",VLOOKUP($C30,'Activity Master Opex'!$B:$I,5,0))</f>
        <v>62900020</v>
      </c>
      <c r="I30" s="178" t="str">
        <f>IFERROR(VLOOKUP(H30,'Activity Master Opex'!F:G,2,FALSE),"")</f>
        <v>Subscriptions and Periodicals</v>
      </c>
      <c r="J30" s="183">
        <f>90.32*15500</f>
        <v>1399960</v>
      </c>
      <c r="K30" s="183">
        <v>1225000</v>
      </c>
      <c r="L30" s="184"/>
      <c r="M30" s="184"/>
      <c r="N30" s="184"/>
      <c r="O30" s="184"/>
      <c r="P30" s="184"/>
      <c r="Q30" s="184"/>
      <c r="R30" s="184"/>
      <c r="S30" s="184"/>
      <c r="T30" s="184"/>
      <c r="U30" s="184"/>
      <c r="V30" s="184"/>
      <c r="W30" s="184"/>
      <c r="X30" s="185">
        <f t="shared" si="9"/>
        <v>0</v>
      </c>
      <c r="Y30" s="186"/>
      <c r="Z30" s="142"/>
      <c r="AA30" s="142"/>
      <c r="AB30" s="142"/>
      <c r="AC30" s="142"/>
      <c r="AD30" s="142"/>
      <c r="AE30" s="142"/>
      <c r="AF30" s="142"/>
      <c r="AG30" s="142"/>
      <c r="AH30" s="142"/>
      <c r="AI30" s="142"/>
      <c r="AJ30" s="142"/>
      <c r="AK30" s="142"/>
      <c r="AL30" s="187">
        <f t="shared" si="0"/>
        <v>0</v>
      </c>
      <c r="AM30" s="188"/>
      <c r="AN30" s="142"/>
      <c r="AO30" s="142"/>
      <c r="AP30" s="142"/>
      <c r="AQ30" s="142"/>
      <c r="AR30" s="142"/>
      <c r="AS30" s="142"/>
      <c r="AT30" s="142"/>
      <c r="AU30" s="142"/>
      <c r="AV30" s="142"/>
      <c r="AW30" s="142"/>
      <c r="AX30" s="142"/>
      <c r="AY30" s="142"/>
      <c r="AZ30" s="187">
        <f t="shared" si="1"/>
        <v>0</v>
      </c>
      <c r="BA30" s="189">
        <f t="shared" si="2"/>
        <v>-1399960</v>
      </c>
      <c r="BB30" s="190"/>
      <c r="BC30" s="191">
        <f t="shared" si="3"/>
        <v>0</v>
      </c>
      <c r="BD30" s="192" t="str">
        <f>IF('Budget Opex Detail'!C30="","",IF(COUNTIFS('Activity Master Opex'!$B$4:$B$64,'Budget Opex Detail'!$C30)&gt;0,"","New Activity"))</f>
        <v/>
      </c>
      <c r="BE30" s="193"/>
      <c r="BF30" s="194"/>
      <c r="BG30" s="195"/>
      <c r="BH30" s="196"/>
      <c r="BI30" s="197"/>
      <c r="BJ30" s="197"/>
      <c r="BK30" s="198"/>
      <c r="BL30" s="147">
        <f t="shared" si="6"/>
        <v>0</v>
      </c>
      <c r="BM30" s="196"/>
      <c r="BN30" s="196"/>
      <c r="BO30" s="199">
        <f t="shared" si="4"/>
        <v>0</v>
      </c>
      <c r="BP30" s="200"/>
      <c r="BR30" s="202" t="str">
        <f>IF($H30="","",VLOOKUP($H30,'Master Data'!$B:$D,3,FALSE))</f>
        <v>Membership &amp; Sponsorship</v>
      </c>
      <c r="BS30" s="202" t="str">
        <f t="shared" si="7"/>
        <v>General Administrative</v>
      </c>
      <c r="BT30" s="202" t="str">
        <f>IF($H30="","",VLOOKUP(VALUE($H30),'Master Data'!B:I,8,FALSE))</f>
        <v>Subscriptions and Periodicals</v>
      </c>
    </row>
    <row r="31" spans="1:72" s="201" customFormat="1" x14ac:dyDescent="0.35">
      <c r="A31" s="178" t="str">
        <f>IF(D31="","",Cover!$D$8)</f>
        <v>Legal &amp; Compliance</v>
      </c>
      <c r="B31" s="132" t="str">
        <f>IF(D31="","",IFERROR(VLOOKUP(G31,'Master Data'!$E$59:$J$144,6,FALSE),0))</f>
        <v>General Counsel</v>
      </c>
      <c r="C31" s="298" t="str">
        <f>IF(D31="","",_xlfn.XLOOKUP(D31,'Activity Master Opex'!C:C,'Activity Master Opex'!B:B,0,0,1))</f>
        <v>CL001-00009</v>
      </c>
      <c r="D31" s="180" t="s">
        <v>570</v>
      </c>
      <c r="E31" s="289" t="str">
        <f>IF(D31="","",IFERROR(VLOOKUP(D31,'Activity Master Opex'!$C:$M,6,FALSE),0))</f>
        <v>Handles tasks involving the review of documents like Agreements, Contracts, Deeds, etc.</v>
      </c>
      <c r="F31" s="181" t="str">
        <f>IF($C31="","",VLOOKUP($C31,'Activity Master Opex'!$B:$I,3,0))</f>
        <v>10301CL001</v>
      </c>
      <c r="G31" s="179" t="str">
        <f>IF($C31="","",VLOOKUP($F31,'Master Data'!$D$59:$E$144,2,FALSE))</f>
        <v>CORPORATE LEGAL &amp; COMPLIANCE</v>
      </c>
      <c r="H31" s="182">
        <f>IF($C31="","",VLOOKUP($C31,'Activity Master Opex'!$B:$I,5,0))</f>
        <v>62900020</v>
      </c>
      <c r="I31" s="178" t="str">
        <f>IFERROR(VLOOKUP(H31,'Activity Master Opex'!F:G,2,FALSE),"")</f>
        <v>Subscriptions and Periodicals</v>
      </c>
      <c r="J31" s="183">
        <f>290.32*15500</f>
        <v>4499960</v>
      </c>
      <c r="K31" s="183">
        <v>4150000</v>
      </c>
      <c r="L31" s="184"/>
      <c r="M31" s="184"/>
      <c r="N31" s="184"/>
      <c r="O31" s="184"/>
      <c r="P31" s="184"/>
      <c r="Q31" s="184"/>
      <c r="R31" s="184"/>
      <c r="S31" s="184"/>
      <c r="T31" s="184"/>
      <c r="U31" s="184"/>
      <c r="V31" s="184"/>
      <c r="W31" s="184"/>
      <c r="X31" s="185">
        <f t="shared" si="9"/>
        <v>0</v>
      </c>
      <c r="Y31" s="186"/>
      <c r="Z31" s="142"/>
      <c r="AA31" s="142"/>
      <c r="AB31" s="142"/>
      <c r="AC31" s="142"/>
      <c r="AD31" s="142"/>
      <c r="AE31" s="142"/>
      <c r="AF31" s="142"/>
      <c r="AG31" s="142"/>
      <c r="AH31" s="142"/>
      <c r="AI31" s="142"/>
      <c r="AJ31" s="142"/>
      <c r="AK31" s="142"/>
      <c r="AL31" s="187">
        <f t="shared" si="0"/>
        <v>0</v>
      </c>
      <c r="AM31" s="188"/>
      <c r="AN31" s="142"/>
      <c r="AO31" s="142"/>
      <c r="AP31" s="142"/>
      <c r="AQ31" s="142"/>
      <c r="AR31" s="142"/>
      <c r="AS31" s="142"/>
      <c r="AT31" s="142"/>
      <c r="AU31" s="142"/>
      <c r="AV31" s="142"/>
      <c r="AW31" s="142"/>
      <c r="AX31" s="142"/>
      <c r="AY31" s="142"/>
      <c r="AZ31" s="187">
        <f t="shared" si="1"/>
        <v>0</v>
      </c>
      <c r="BA31" s="189">
        <f t="shared" si="2"/>
        <v>-4499960</v>
      </c>
      <c r="BB31" s="190"/>
      <c r="BC31" s="191">
        <f t="shared" si="3"/>
        <v>0</v>
      </c>
      <c r="BD31" s="192" t="str">
        <f>IF('Budget Opex Detail'!C31="","",IF(COUNTIFS('Activity Master Opex'!$B$4:$B$64,'Budget Opex Detail'!$C31)&gt;0,"","New Activity"))</f>
        <v/>
      </c>
      <c r="BE31" s="193"/>
      <c r="BF31" s="194"/>
      <c r="BG31" s="195"/>
      <c r="BH31" s="196"/>
      <c r="BI31" s="197"/>
      <c r="BJ31" s="197"/>
      <c r="BK31" s="198"/>
      <c r="BL31" s="147">
        <f t="shared" si="6"/>
        <v>0</v>
      </c>
      <c r="BM31" s="196"/>
      <c r="BN31" s="196"/>
      <c r="BO31" s="199">
        <f t="shared" si="4"/>
        <v>0</v>
      </c>
      <c r="BP31" s="200"/>
      <c r="BR31" s="202" t="str">
        <f>IF($H31="","",VLOOKUP($H31,'Master Data'!$B:$D,3,FALSE))</f>
        <v>Membership &amp; Sponsorship</v>
      </c>
      <c r="BS31" s="202" t="str">
        <f t="shared" si="7"/>
        <v>General Administrative</v>
      </c>
      <c r="BT31" s="202" t="str">
        <f>IF($H31="","",VLOOKUP(VALUE($H31),'Master Data'!B:I,8,FALSE))</f>
        <v>Subscriptions and Periodicals</v>
      </c>
    </row>
    <row r="32" spans="1:72" s="201" customFormat="1" x14ac:dyDescent="0.35">
      <c r="A32" s="178" t="str">
        <f>IF(D32="","",Cover!$D$8)</f>
        <v>Legal &amp; Compliance</v>
      </c>
      <c r="B32" s="132" t="str">
        <f>IF(D32="","",IFERROR(VLOOKUP(G32,'Master Data'!$E$59:$J$144,6,FALSE),0))</f>
        <v>Permit &amp; Licensing</v>
      </c>
      <c r="C32" s="298" t="str">
        <f>IF(D32="","",_xlfn.XLOOKUP(D32,'Activity Master Opex'!C:C,'Activity Master Opex'!B:B,0,0,1))</f>
        <v>MS008-00039</v>
      </c>
      <c r="D32" s="180" t="s">
        <v>571</v>
      </c>
      <c r="E32" s="289">
        <f>IF(D32="","",IFERROR(VLOOKUP(D32,'Activity Master Opex'!$C:$M,6,FALSE),0))</f>
        <v>0</v>
      </c>
      <c r="F32" s="181" t="str">
        <f>IF($C32="","",VLOOKUP($C32,'Activity Master Opex'!$B:$I,3,0))</f>
        <v>10301MS008</v>
      </c>
      <c r="G32" s="179" t="str">
        <f>IF($C32="","",VLOOKUP($F32,'Master Data'!$D$59:$E$144,2,FALSE))</f>
        <v>LICENSES &amp; PERMITS</v>
      </c>
      <c r="H32" s="182">
        <f>IF($C32="","",VLOOKUP($C32,'Activity Master Opex'!$B:$I,5,0))</f>
        <v>61900090</v>
      </c>
      <c r="I32" s="178" t="str">
        <f>IFERROR(VLOOKUP(H32,'Activity Master Opex'!F:G,2,FALSE),"")</f>
        <v>PF - Other Professional Fees</v>
      </c>
      <c r="J32" s="183">
        <f>4838.84*15500</f>
        <v>75002020</v>
      </c>
      <c r="K32" s="183">
        <v>75000000</v>
      </c>
      <c r="L32" s="184"/>
      <c r="M32" s="184"/>
      <c r="N32" s="184"/>
      <c r="O32" s="184"/>
      <c r="P32" s="184"/>
      <c r="Q32" s="184"/>
      <c r="R32" s="184"/>
      <c r="S32" s="184"/>
      <c r="T32" s="184"/>
      <c r="U32" s="184"/>
      <c r="V32" s="184"/>
      <c r="W32" s="184"/>
      <c r="X32" s="185">
        <f t="shared" si="9"/>
        <v>0</v>
      </c>
      <c r="Y32" s="186"/>
      <c r="Z32" s="142"/>
      <c r="AA32" s="142"/>
      <c r="AB32" s="142"/>
      <c r="AC32" s="142"/>
      <c r="AD32" s="142"/>
      <c r="AE32" s="142"/>
      <c r="AF32" s="142"/>
      <c r="AG32" s="142"/>
      <c r="AH32" s="142"/>
      <c r="AI32" s="142"/>
      <c r="AJ32" s="142"/>
      <c r="AK32" s="142"/>
      <c r="AL32" s="187">
        <f t="shared" si="0"/>
        <v>0</v>
      </c>
      <c r="AM32" s="188"/>
      <c r="AN32" s="142"/>
      <c r="AO32" s="142"/>
      <c r="AP32" s="142"/>
      <c r="AQ32" s="142"/>
      <c r="AR32" s="142"/>
      <c r="AS32" s="142"/>
      <c r="AT32" s="142"/>
      <c r="AU32" s="142"/>
      <c r="AV32" s="142"/>
      <c r="AW32" s="142"/>
      <c r="AX32" s="142"/>
      <c r="AY32" s="142"/>
      <c r="AZ32" s="187">
        <f t="shared" si="1"/>
        <v>0</v>
      </c>
      <c r="BA32" s="189">
        <f t="shared" si="2"/>
        <v>-75002020</v>
      </c>
      <c r="BB32" s="190"/>
      <c r="BC32" s="191">
        <f t="shared" si="3"/>
        <v>0</v>
      </c>
      <c r="BD32" s="192" t="str">
        <f>IF('Budget Opex Detail'!C32="","",IF(COUNTIFS('Activity Master Opex'!$B$4:$B$64,'Budget Opex Detail'!$C32)&gt;0,"","New Activity"))</f>
        <v/>
      </c>
      <c r="BE32" s="193"/>
      <c r="BF32" s="194"/>
      <c r="BG32" s="195"/>
      <c r="BH32" s="196"/>
      <c r="BI32" s="197"/>
      <c r="BJ32" s="197"/>
      <c r="BK32" s="198"/>
      <c r="BL32" s="147">
        <f t="shared" si="6"/>
        <v>0</v>
      </c>
      <c r="BM32" s="196"/>
      <c r="BN32" s="196"/>
      <c r="BO32" s="199">
        <f t="shared" si="4"/>
        <v>0</v>
      </c>
      <c r="BP32" s="200"/>
      <c r="BR32" s="202" t="str">
        <f>IF($H32="","",VLOOKUP($H32,'Master Data'!$B:$D,3,FALSE))</f>
        <v>Professional Fees</v>
      </c>
      <c r="BS32" s="202" t="str">
        <f t="shared" si="7"/>
        <v>General Administrative</v>
      </c>
      <c r="BT32" s="202" t="str">
        <f>IF($H32="","",VLOOKUP(VALUE($H32),'Master Data'!B:I,8,FALSE))</f>
        <v>Professional fees</v>
      </c>
    </row>
    <row r="33" spans="1:72" s="201" customFormat="1" x14ac:dyDescent="0.35">
      <c r="A33" s="178" t="str">
        <f>IF(D33="","",Cover!$D$8)</f>
        <v/>
      </c>
      <c r="B33" s="178" t="str">
        <f>IF(D33="","",Cover!$D$9)</f>
        <v/>
      </c>
      <c r="C33" s="298" t="str">
        <f>IF(D33="","",_xlfn.XLOOKUP(D33,'Activity Master Opex'!C:C,'Activity Master Opex'!B:B,0,0,1))</f>
        <v/>
      </c>
      <c r="D33" s="180"/>
      <c r="E33" s="289" t="str">
        <f>IF(D33="","",IFERROR(VLOOKUP(D33,'Activity Master Opex'!$C:$M,6,FALSE),0))</f>
        <v/>
      </c>
      <c r="F33" s="181" t="str">
        <f>IF($C33="","",VLOOKUP($C33,'Activity Master Opex'!$B:$I,3,0))</f>
        <v/>
      </c>
      <c r="G33" s="179" t="str">
        <f>IF($C33="","",VLOOKUP($F33,#REF!,2,0))</f>
        <v/>
      </c>
      <c r="H33" s="182" t="str">
        <f>IF($C33="","",VLOOKUP($C33,'Activity Master Opex'!$B:$I,5,0))</f>
        <v/>
      </c>
      <c r="I33" s="178" t="str">
        <f>IFERROR(VLOOKUP(H33,'Activity Master Opex'!F:G,2,FALSE),"")</f>
        <v/>
      </c>
      <c r="J33" s="183">
        <v>0</v>
      </c>
      <c r="K33" s="183">
        <v>0</v>
      </c>
      <c r="L33" s="184"/>
      <c r="M33" s="184"/>
      <c r="N33" s="184"/>
      <c r="O33" s="184"/>
      <c r="P33" s="184"/>
      <c r="Q33" s="184"/>
      <c r="R33" s="184"/>
      <c r="S33" s="184"/>
      <c r="T33" s="184"/>
      <c r="U33" s="184"/>
      <c r="V33" s="184"/>
      <c r="W33" s="184"/>
      <c r="X33" s="185">
        <f t="shared" si="9"/>
        <v>0</v>
      </c>
      <c r="Y33" s="186"/>
      <c r="Z33" s="142"/>
      <c r="AA33" s="142"/>
      <c r="AB33" s="142"/>
      <c r="AC33" s="142"/>
      <c r="AD33" s="142"/>
      <c r="AE33" s="142"/>
      <c r="AF33" s="142"/>
      <c r="AG33" s="142"/>
      <c r="AH33" s="142"/>
      <c r="AI33" s="142"/>
      <c r="AJ33" s="142"/>
      <c r="AK33" s="142"/>
      <c r="AL33" s="187">
        <f t="shared" si="0"/>
        <v>0</v>
      </c>
      <c r="AM33" s="188"/>
      <c r="AN33" s="142"/>
      <c r="AO33" s="142"/>
      <c r="AP33" s="142"/>
      <c r="AQ33" s="142"/>
      <c r="AR33" s="142"/>
      <c r="AS33" s="142"/>
      <c r="AT33" s="142"/>
      <c r="AU33" s="142"/>
      <c r="AV33" s="142"/>
      <c r="AW33" s="142"/>
      <c r="AX33" s="142"/>
      <c r="AY33" s="142"/>
      <c r="AZ33" s="187">
        <f t="shared" si="1"/>
        <v>0</v>
      </c>
      <c r="BA33" s="189">
        <f t="shared" si="2"/>
        <v>0</v>
      </c>
      <c r="BB33" s="190"/>
      <c r="BC33" s="191">
        <f t="shared" si="3"/>
        <v>0</v>
      </c>
      <c r="BD33" s="192" t="str">
        <f>IF('Budget Opex Detail'!C33="","",IF(COUNTIFS('Activity Master Opex'!$B$4:$B$64,'Budget Opex Detail'!$C33)&gt;0,"","New Activity"))</f>
        <v/>
      </c>
      <c r="BE33" s="193"/>
      <c r="BF33" s="194"/>
      <c r="BG33" s="195"/>
      <c r="BH33" s="196"/>
      <c r="BI33" s="197"/>
      <c r="BJ33" s="197"/>
      <c r="BK33" s="198"/>
      <c r="BL33" s="147">
        <f t="shared" si="6"/>
        <v>0</v>
      </c>
      <c r="BM33" s="196"/>
      <c r="BN33" s="196"/>
      <c r="BO33" s="199">
        <f t="shared" si="4"/>
        <v>0</v>
      </c>
      <c r="BP33" s="200"/>
      <c r="BR33" s="202" t="str">
        <f>IF($H33="","",VLOOKUP($H33,'Master Data'!$B:$D,3,FALSE))</f>
        <v/>
      </c>
      <c r="BS33" s="202" t="str">
        <f t="shared" ref="BS33:BS64" si="10">IF(C33="","",IF($A33&lt;&gt;"human resources",IF(LEFT(F33,6)="10301S","Selling","General Administrative"),IFERROR(IF(FIND("Selling",D33)&gt;0,"Selling","General Administrative"),"General Administrative")))</f>
        <v/>
      </c>
      <c r="BT33" s="202" t="str">
        <f>IF($H33="","",VLOOKUP(VALUE($H33),'Master Data'!B:I,8,FALSE))</f>
        <v/>
      </c>
    </row>
    <row r="34" spans="1:72" s="201" customFormat="1" x14ac:dyDescent="0.35">
      <c r="A34" s="178" t="str">
        <f>IF(D34="","",Cover!$D$8)</f>
        <v/>
      </c>
      <c r="B34" s="178" t="str">
        <f>IF(D34="","",Cover!$D$9)</f>
        <v/>
      </c>
      <c r="C34" s="298" t="str">
        <f>IF(D34="","",_xlfn.XLOOKUP(D34,'Activity Master Opex'!C:C,'Activity Master Opex'!B:B,0,0,1))</f>
        <v/>
      </c>
      <c r="D34" s="180"/>
      <c r="E34" s="289" t="str">
        <f>IF(D34="","",IFERROR(VLOOKUP(D34,'Activity Master Opex'!$C:$M,6,FALSE),0))</f>
        <v/>
      </c>
      <c r="F34" s="181" t="str">
        <f>IF($C34="","",VLOOKUP($C34,'Activity Master Opex'!$B:$I,3,0))</f>
        <v/>
      </c>
      <c r="G34" s="179" t="str">
        <f>IF($C34="","",VLOOKUP($F34,#REF!,2,0))</f>
        <v/>
      </c>
      <c r="H34" s="182" t="str">
        <f>IF($C34="","",VLOOKUP($C34,'Activity Master Opex'!$B:$I,5,0))</f>
        <v/>
      </c>
      <c r="I34" s="178" t="str">
        <f>IFERROR(VLOOKUP(H34,'Activity Master Opex'!F:G,2,FALSE),"")</f>
        <v/>
      </c>
      <c r="J34" s="183">
        <v>0</v>
      </c>
      <c r="K34" s="183">
        <v>0</v>
      </c>
      <c r="L34" s="184"/>
      <c r="M34" s="184"/>
      <c r="N34" s="184"/>
      <c r="O34" s="184"/>
      <c r="P34" s="184"/>
      <c r="Q34" s="184"/>
      <c r="R34" s="184"/>
      <c r="S34" s="184"/>
      <c r="T34" s="184"/>
      <c r="U34" s="184"/>
      <c r="V34" s="184"/>
      <c r="W34" s="184"/>
      <c r="X34" s="185">
        <f t="shared" si="9"/>
        <v>0</v>
      </c>
      <c r="Y34" s="186"/>
      <c r="Z34" s="142"/>
      <c r="AA34" s="142"/>
      <c r="AB34" s="142"/>
      <c r="AC34" s="142"/>
      <c r="AD34" s="142"/>
      <c r="AE34" s="142"/>
      <c r="AF34" s="142"/>
      <c r="AG34" s="142"/>
      <c r="AH34" s="142"/>
      <c r="AI34" s="142"/>
      <c r="AJ34" s="142"/>
      <c r="AK34" s="142"/>
      <c r="AL34" s="187">
        <f t="shared" si="0"/>
        <v>0</v>
      </c>
      <c r="AM34" s="188"/>
      <c r="AN34" s="142"/>
      <c r="AO34" s="142"/>
      <c r="AP34" s="142"/>
      <c r="AQ34" s="142"/>
      <c r="AR34" s="142"/>
      <c r="AS34" s="142"/>
      <c r="AT34" s="142"/>
      <c r="AU34" s="142"/>
      <c r="AV34" s="142"/>
      <c r="AW34" s="142"/>
      <c r="AX34" s="142"/>
      <c r="AY34" s="142"/>
      <c r="AZ34" s="187">
        <f t="shared" si="1"/>
        <v>0</v>
      </c>
      <c r="BA34" s="189">
        <f t="shared" si="2"/>
        <v>0</v>
      </c>
      <c r="BB34" s="190"/>
      <c r="BC34" s="191">
        <f t="shared" si="3"/>
        <v>0</v>
      </c>
      <c r="BD34" s="192" t="str">
        <f>IF('Budget Opex Detail'!C34="","",IF(COUNTIFS('Activity Master Opex'!$B$4:$B$64,'Budget Opex Detail'!$C34)&gt;0,"","New Activity"))</f>
        <v/>
      </c>
      <c r="BE34" s="193"/>
      <c r="BF34" s="194"/>
      <c r="BG34" s="195"/>
      <c r="BH34" s="196"/>
      <c r="BI34" s="197"/>
      <c r="BJ34" s="197"/>
      <c r="BK34" s="198"/>
      <c r="BL34" s="147">
        <f t="shared" si="6"/>
        <v>0</v>
      </c>
      <c r="BM34" s="196"/>
      <c r="BN34" s="196"/>
      <c r="BO34" s="199">
        <f t="shared" si="4"/>
        <v>0</v>
      </c>
      <c r="BP34" s="200"/>
      <c r="BR34" s="202" t="str">
        <f>IF($H34="","",VLOOKUP($H34,'Master Data'!$B:$D,3,FALSE))</f>
        <v/>
      </c>
      <c r="BS34" s="202" t="str">
        <f t="shared" si="10"/>
        <v/>
      </c>
      <c r="BT34" s="202" t="str">
        <f>IF($H34="","",VLOOKUP(VALUE($H34),'Master Data'!B:I,8,FALSE))</f>
        <v/>
      </c>
    </row>
    <row r="35" spans="1:72" s="201" customFormat="1" x14ac:dyDescent="0.35">
      <c r="A35" s="178" t="str">
        <f>IF(D35="","",Cover!$D$8)</f>
        <v/>
      </c>
      <c r="B35" s="178" t="str">
        <f>IF(D35="","",Cover!$D$9)</f>
        <v/>
      </c>
      <c r="C35" s="298" t="str">
        <f>IF(D35="","",_xlfn.XLOOKUP(D35,'Activity Master Opex'!C:C,'Activity Master Opex'!B:B,0,0,1))</f>
        <v/>
      </c>
      <c r="D35" s="180"/>
      <c r="E35" s="289" t="str">
        <f>IF(D35="","",IFERROR(VLOOKUP(D35,'Activity Master Opex'!$C:$M,6,FALSE),0))</f>
        <v/>
      </c>
      <c r="F35" s="181" t="str">
        <f>IF($C35="","",VLOOKUP($C35,'Activity Master Opex'!$B:$I,3,0))</f>
        <v/>
      </c>
      <c r="G35" s="179" t="str">
        <f>IF($C35="","",VLOOKUP($F35,#REF!,2,0))</f>
        <v/>
      </c>
      <c r="H35" s="182" t="str">
        <f>IF($C35="","",VLOOKUP($C35,'Activity Master Opex'!$B:$I,5,0))</f>
        <v/>
      </c>
      <c r="I35" s="178" t="str">
        <f>IFERROR(VLOOKUP(H35,'Activity Master Opex'!F:G,2,FALSE),"")</f>
        <v/>
      </c>
      <c r="J35" s="183">
        <v>0</v>
      </c>
      <c r="K35" s="183">
        <v>0</v>
      </c>
      <c r="L35" s="184"/>
      <c r="M35" s="184"/>
      <c r="N35" s="184"/>
      <c r="O35" s="184"/>
      <c r="P35" s="184"/>
      <c r="Q35" s="184"/>
      <c r="R35" s="184"/>
      <c r="S35" s="184"/>
      <c r="T35" s="184"/>
      <c r="U35" s="184"/>
      <c r="V35" s="184"/>
      <c r="W35" s="184"/>
      <c r="X35" s="185">
        <f t="shared" si="9"/>
        <v>0</v>
      </c>
      <c r="Y35" s="186"/>
      <c r="Z35" s="142"/>
      <c r="AA35" s="142"/>
      <c r="AB35" s="142"/>
      <c r="AC35" s="142"/>
      <c r="AD35" s="142"/>
      <c r="AE35" s="142"/>
      <c r="AF35" s="142"/>
      <c r="AG35" s="142"/>
      <c r="AH35" s="142"/>
      <c r="AI35" s="142"/>
      <c r="AJ35" s="142"/>
      <c r="AK35" s="142"/>
      <c r="AL35" s="187">
        <f t="shared" si="0"/>
        <v>0</v>
      </c>
      <c r="AM35" s="188"/>
      <c r="AN35" s="142"/>
      <c r="AO35" s="142"/>
      <c r="AP35" s="142"/>
      <c r="AQ35" s="142"/>
      <c r="AR35" s="142"/>
      <c r="AS35" s="142"/>
      <c r="AT35" s="142"/>
      <c r="AU35" s="142"/>
      <c r="AV35" s="142"/>
      <c r="AW35" s="142"/>
      <c r="AX35" s="142"/>
      <c r="AY35" s="142"/>
      <c r="AZ35" s="187">
        <f t="shared" si="1"/>
        <v>0</v>
      </c>
      <c r="BA35" s="189">
        <f t="shared" si="2"/>
        <v>0</v>
      </c>
      <c r="BB35" s="190"/>
      <c r="BC35" s="191">
        <f t="shared" si="3"/>
        <v>0</v>
      </c>
      <c r="BD35" s="192" t="str">
        <f>IF('Budget Opex Detail'!C35="","",IF(COUNTIFS('Activity Master Opex'!$B$4:$B$64,'Budget Opex Detail'!$C35)&gt;0,"","New Activity"))</f>
        <v/>
      </c>
      <c r="BE35" s="193"/>
      <c r="BF35" s="194"/>
      <c r="BG35" s="195"/>
      <c r="BH35" s="196"/>
      <c r="BI35" s="197"/>
      <c r="BJ35" s="197"/>
      <c r="BK35" s="198"/>
      <c r="BL35" s="147">
        <f t="shared" si="6"/>
        <v>0</v>
      </c>
      <c r="BM35" s="196"/>
      <c r="BN35" s="196"/>
      <c r="BO35" s="199">
        <f t="shared" si="4"/>
        <v>0</v>
      </c>
      <c r="BP35" s="200"/>
      <c r="BR35" s="202" t="str">
        <f>IF($H35="","",VLOOKUP($H35,'Master Data'!$B:$D,3,FALSE))</f>
        <v/>
      </c>
      <c r="BS35" s="202" t="str">
        <f t="shared" si="10"/>
        <v/>
      </c>
      <c r="BT35" s="202" t="str">
        <f>IF($H35="","",VLOOKUP(VALUE($H35),'Master Data'!B:I,8,FALSE))</f>
        <v/>
      </c>
    </row>
    <row r="36" spans="1:72" s="201" customFormat="1" x14ac:dyDescent="0.35">
      <c r="A36" s="178" t="str">
        <f>IF(D36="","",Cover!$D$8)</f>
        <v/>
      </c>
      <c r="B36" s="178" t="str">
        <f>IF(D36="","",Cover!$D$9)</f>
        <v/>
      </c>
      <c r="C36" s="298" t="str">
        <f>IF(D36="","",_xlfn.XLOOKUP(D36,'Activity Master Opex'!C:C,'Activity Master Opex'!B:B,0,0,1))</f>
        <v/>
      </c>
      <c r="D36" s="180"/>
      <c r="E36" s="289" t="str">
        <f>IF(D36="","",IFERROR(VLOOKUP(D36,'Activity Master Opex'!$C:$M,6,FALSE),0))</f>
        <v/>
      </c>
      <c r="F36" s="181" t="str">
        <f>IF($C36="","",VLOOKUP($C36,'Activity Master Opex'!$B:$I,3,0))</f>
        <v/>
      </c>
      <c r="G36" s="179" t="str">
        <f>IF($C36="","",VLOOKUP($F36,#REF!,2,0))</f>
        <v/>
      </c>
      <c r="H36" s="182" t="str">
        <f>IF($C36="","",VLOOKUP($C36,'Activity Master Opex'!$B:$I,5,0))</f>
        <v/>
      </c>
      <c r="I36" s="178" t="str">
        <f>IFERROR(VLOOKUP(H36,'Activity Master Opex'!F:G,2,FALSE),"")</f>
        <v/>
      </c>
      <c r="J36" s="183">
        <v>0</v>
      </c>
      <c r="K36" s="183">
        <v>0</v>
      </c>
      <c r="L36" s="184"/>
      <c r="M36" s="184"/>
      <c r="N36" s="184"/>
      <c r="O36" s="184"/>
      <c r="P36" s="184"/>
      <c r="Q36" s="184"/>
      <c r="R36" s="184"/>
      <c r="S36" s="184"/>
      <c r="T36" s="184"/>
      <c r="U36" s="184"/>
      <c r="V36" s="184"/>
      <c r="W36" s="184"/>
      <c r="X36" s="185">
        <f t="shared" si="9"/>
        <v>0</v>
      </c>
      <c r="Y36" s="186"/>
      <c r="Z36" s="142"/>
      <c r="AA36" s="142"/>
      <c r="AB36" s="142"/>
      <c r="AC36" s="142"/>
      <c r="AD36" s="142"/>
      <c r="AE36" s="142"/>
      <c r="AF36" s="142"/>
      <c r="AG36" s="142"/>
      <c r="AH36" s="142"/>
      <c r="AI36" s="142"/>
      <c r="AJ36" s="142"/>
      <c r="AK36" s="142"/>
      <c r="AL36" s="187">
        <f t="shared" si="0"/>
        <v>0</v>
      </c>
      <c r="AM36" s="188"/>
      <c r="AN36" s="142"/>
      <c r="AO36" s="142"/>
      <c r="AP36" s="142"/>
      <c r="AQ36" s="142"/>
      <c r="AR36" s="142"/>
      <c r="AS36" s="142"/>
      <c r="AT36" s="142"/>
      <c r="AU36" s="142"/>
      <c r="AV36" s="142"/>
      <c r="AW36" s="142"/>
      <c r="AX36" s="142"/>
      <c r="AY36" s="142"/>
      <c r="AZ36" s="187">
        <f t="shared" si="1"/>
        <v>0</v>
      </c>
      <c r="BA36" s="189">
        <f t="shared" si="2"/>
        <v>0</v>
      </c>
      <c r="BB36" s="190"/>
      <c r="BC36" s="191">
        <f t="shared" si="3"/>
        <v>0</v>
      </c>
      <c r="BD36" s="192" t="str">
        <f>IF('Budget Opex Detail'!C36="","",IF(COUNTIFS('Activity Master Opex'!$B$4:$B$64,'Budget Opex Detail'!$C36)&gt;0,"","New Activity"))</f>
        <v/>
      </c>
      <c r="BE36" s="193"/>
      <c r="BF36" s="194"/>
      <c r="BG36" s="195"/>
      <c r="BH36" s="196"/>
      <c r="BI36" s="197"/>
      <c r="BJ36" s="197"/>
      <c r="BK36" s="198"/>
      <c r="BL36" s="147">
        <f t="shared" si="6"/>
        <v>0</v>
      </c>
      <c r="BM36" s="196"/>
      <c r="BN36" s="196"/>
      <c r="BO36" s="199">
        <f t="shared" si="4"/>
        <v>0</v>
      </c>
      <c r="BP36" s="200"/>
      <c r="BR36" s="202" t="str">
        <f>IF($H36="","",VLOOKUP($H36,'Master Data'!$B:$D,3,FALSE))</f>
        <v/>
      </c>
      <c r="BS36" s="202" t="str">
        <f t="shared" si="10"/>
        <v/>
      </c>
      <c r="BT36" s="202" t="str">
        <f>IF($H36="","",VLOOKUP(VALUE($H36),'Master Data'!B:I,8,FALSE))</f>
        <v/>
      </c>
    </row>
    <row r="37" spans="1:72" s="201" customFormat="1" x14ac:dyDescent="0.35">
      <c r="A37" s="178" t="str">
        <f>IF(D37="","",Cover!$D$8)</f>
        <v/>
      </c>
      <c r="B37" s="178" t="str">
        <f>IF(D37="","",Cover!$D$9)</f>
        <v/>
      </c>
      <c r="C37" s="298" t="str">
        <f>IF(D37="","",_xlfn.XLOOKUP(D37,'Activity Master Opex'!C:C,'Activity Master Opex'!B:B,0,0,1))</f>
        <v/>
      </c>
      <c r="D37" s="180"/>
      <c r="E37" s="289" t="str">
        <f>IF(D37="","",IFERROR(VLOOKUP(D37,'Activity Master Opex'!$C:$M,6,FALSE),0))</f>
        <v/>
      </c>
      <c r="F37" s="181" t="str">
        <f>IF($C37="","",VLOOKUP($C37,'Activity Master Opex'!$B:$I,3,0))</f>
        <v/>
      </c>
      <c r="G37" s="179" t="str">
        <f>IF($C37="","",VLOOKUP($F37,#REF!,2,0))</f>
        <v/>
      </c>
      <c r="H37" s="182" t="str">
        <f>IF($C37="","",VLOOKUP($C37,'Activity Master Opex'!$B:$I,5,0))</f>
        <v/>
      </c>
      <c r="I37" s="178" t="str">
        <f>IFERROR(VLOOKUP(H37,'Activity Master Opex'!F:G,2,FALSE),"")</f>
        <v/>
      </c>
      <c r="J37" s="183">
        <v>0</v>
      </c>
      <c r="K37" s="183">
        <v>0</v>
      </c>
      <c r="L37" s="184"/>
      <c r="M37" s="184"/>
      <c r="N37" s="184"/>
      <c r="O37" s="184"/>
      <c r="P37" s="184"/>
      <c r="Q37" s="184"/>
      <c r="R37" s="184"/>
      <c r="S37" s="184"/>
      <c r="T37" s="184"/>
      <c r="U37" s="184"/>
      <c r="V37" s="184"/>
      <c r="W37" s="184"/>
      <c r="X37" s="185">
        <f t="shared" si="9"/>
        <v>0</v>
      </c>
      <c r="Y37" s="186"/>
      <c r="Z37" s="142"/>
      <c r="AA37" s="142"/>
      <c r="AB37" s="142"/>
      <c r="AC37" s="142"/>
      <c r="AD37" s="142"/>
      <c r="AE37" s="142"/>
      <c r="AF37" s="142"/>
      <c r="AG37" s="142"/>
      <c r="AH37" s="142"/>
      <c r="AI37" s="142"/>
      <c r="AJ37" s="142"/>
      <c r="AK37" s="142"/>
      <c r="AL37" s="187">
        <f t="shared" si="0"/>
        <v>0</v>
      </c>
      <c r="AM37" s="188"/>
      <c r="AN37" s="142"/>
      <c r="AO37" s="142"/>
      <c r="AP37" s="142"/>
      <c r="AQ37" s="142"/>
      <c r="AR37" s="142"/>
      <c r="AS37" s="142"/>
      <c r="AT37" s="142"/>
      <c r="AU37" s="142"/>
      <c r="AV37" s="142"/>
      <c r="AW37" s="142"/>
      <c r="AX37" s="142"/>
      <c r="AY37" s="142"/>
      <c r="AZ37" s="187">
        <f t="shared" si="1"/>
        <v>0</v>
      </c>
      <c r="BA37" s="189">
        <f t="shared" si="2"/>
        <v>0</v>
      </c>
      <c r="BB37" s="190"/>
      <c r="BC37" s="191">
        <f t="shared" si="3"/>
        <v>0</v>
      </c>
      <c r="BD37" s="192" t="str">
        <f>IF('Budget Opex Detail'!C37="","",IF(COUNTIFS('Activity Master Opex'!$B$4:$B$64,'Budget Opex Detail'!$C37)&gt;0,"","New Activity"))</f>
        <v/>
      </c>
      <c r="BE37" s="193"/>
      <c r="BF37" s="194"/>
      <c r="BG37" s="195"/>
      <c r="BH37" s="196"/>
      <c r="BI37" s="197"/>
      <c r="BJ37" s="197"/>
      <c r="BK37" s="198"/>
      <c r="BL37" s="147">
        <f t="shared" si="6"/>
        <v>0</v>
      </c>
      <c r="BM37" s="196"/>
      <c r="BN37" s="196"/>
      <c r="BO37" s="199">
        <f t="shared" si="4"/>
        <v>0</v>
      </c>
      <c r="BP37" s="200"/>
      <c r="BR37" s="202" t="str">
        <f>IF($H37="","",VLOOKUP($H37,'Master Data'!$B:$D,3,FALSE))</f>
        <v/>
      </c>
      <c r="BS37" s="202" t="str">
        <f t="shared" si="10"/>
        <v/>
      </c>
      <c r="BT37" s="202" t="str">
        <f>IF($H37="","",VLOOKUP(VALUE($H37),'Master Data'!B:I,8,FALSE))</f>
        <v/>
      </c>
    </row>
    <row r="38" spans="1:72" s="201" customFormat="1" x14ac:dyDescent="0.35">
      <c r="A38" s="178" t="str">
        <f>IF(D38="","",Cover!$D$8)</f>
        <v/>
      </c>
      <c r="B38" s="178" t="str">
        <f>IF(D38="","",Cover!$D$9)</f>
        <v/>
      </c>
      <c r="C38" s="298" t="str">
        <f>IF(D38="","",_xlfn.XLOOKUP(D38,'Activity Master Opex'!C:C,'Activity Master Opex'!B:B,0,0,1))</f>
        <v/>
      </c>
      <c r="D38" s="180"/>
      <c r="E38" s="289" t="str">
        <f>IF(D38="","",IFERROR(VLOOKUP(D38,'Activity Master Opex'!$C:$M,6,FALSE),0))</f>
        <v/>
      </c>
      <c r="F38" s="181" t="str">
        <f>IF($C38="","",VLOOKUP($C38,'Activity Master Opex'!$B:$I,3,0))</f>
        <v/>
      </c>
      <c r="G38" s="179" t="str">
        <f>IF($C38="","",VLOOKUP($F38,#REF!,2,0))</f>
        <v/>
      </c>
      <c r="H38" s="182" t="str">
        <f>IF($C38="","",VLOOKUP($C38,'Activity Master Opex'!$B:$I,5,0))</f>
        <v/>
      </c>
      <c r="I38" s="178" t="str">
        <f>IFERROR(VLOOKUP(H38,'Activity Master Opex'!F:G,2,FALSE),"")</f>
        <v/>
      </c>
      <c r="J38" s="183">
        <v>0</v>
      </c>
      <c r="K38" s="183">
        <v>0</v>
      </c>
      <c r="L38" s="184"/>
      <c r="M38" s="184"/>
      <c r="N38" s="184"/>
      <c r="O38" s="184"/>
      <c r="P38" s="184"/>
      <c r="Q38" s="184"/>
      <c r="R38" s="184"/>
      <c r="S38" s="184"/>
      <c r="T38" s="184"/>
      <c r="U38" s="184"/>
      <c r="V38" s="184"/>
      <c r="W38" s="184"/>
      <c r="X38" s="185">
        <f t="shared" si="9"/>
        <v>0</v>
      </c>
      <c r="Y38" s="186"/>
      <c r="Z38" s="142"/>
      <c r="AA38" s="142"/>
      <c r="AB38" s="142"/>
      <c r="AC38" s="142"/>
      <c r="AD38" s="142"/>
      <c r="AE38" s="142"/>
      <c r="AF38" s="142"/>
      <c r="AG38" s="142"/>
      <c r="AH38" s="142"/>
      <c r="AI38" s="142"/>
      <c r="AJ38" s="142"/>
      <c r="AK38" s="142"/>
      <c r="AL38" s="187">
        <f t="shared" si="0"/>
        <v>0</v>
      </c>
      <c r="AM38" s="188"/>
      <c r="AN38" s="142"/>
      <c r="AO38" s="142"/>
      <c r="AP38" s="142"/>
      <c r="AQ38" s="142"/>
      <c r="AR38" s="142"/>
      <c r="AS38" s="142"/>
      <c r="AT38" s="142"/>
      <c r="AU38" s="142"/>
      <c r="AV38" s="142"/>
      <c r="AW38" s="142"/>
      <c r="AX38" s="142"/>
      <c r="AY38" s="142"/>
      <c r="AZ38" s="187">
        <f t="shared" si="1"/>
        <v>0</v>
      </c>
      <c r="BA38" s="189">
        <f t="shared" si="2"/>
        <v>0</v>
      </c>
      <c r="BB38" s="190"/>
      <c r="BC38" s="191">
        <f t="shared" si="3"/>
        <v>0</v>
      </c>
      <c r="BD38" s="192" t="str">
        <f>IF('Budget Opex Detail'!C38="","",IF(COUNTIFS('Activity Master Opex'!$B$4:$B$64,'Budget Opex Detail'!$C38)&gt;0,"","New Activity"))</f>
        <v/>
      </c>
      <c r="BE38" s="193"/>
      <c r="BF38" s="194"/>
      <c r="BG38" s="195"/>
      <c r="BH38" s="196"/>
      <c r="BI38" s="197"/>
      <c r="BJ38" s="197"/>
      <c r="BK38" s="198"/>
      <c r="BL38" s="147">
        <f t="shared" si="6"/>
        <v>0</v>
      </c>
      <c r="BM38" s="196"/>
      <c r="BN38" s="196"/>
      <c r="BO38" s="199">
        <f t="shared" si="4"/>
        <v>0</v>
      </c>
      <c r="BP38" s="200"/>
      <c r="BR38" s="202" t="str">
        <f>IF($H38="","",VLOOKUP($H38,'Master Data'!$B:$D,3,FALSE))</f>
        <v/>
      </c>
      <c r="BS38" s="202" t="str">
        <f t="shared" si="10"/>
        <v/>
      </c>
      <c r="BT38" s="202" t="str">
        <f>IF($H38="","",VLOOKUP(VALUE($H38),'Master Data'!B:I,8,FALSE))</f>
        <v/>
      </c>
    </row>
    <row r="39" spans="1:72" s="201" customFormat="1" x14ac:dyDescent="0.35">
      <c r="A39" s="178" t="str">
        <f>IF(D39="","",Cover!$D$8)</f>
        <v/>
      </c>
      <c r="B39" s="178" t="str">
        <f>IF(D39="","",Cover!$D$9)</f>
        <v/>
      </c>
      <c r="C39" s="298" t="str">
        <f>IF(D39="","",_xlfn.XLOOKUP(D39,'Activity Master Opex'!C:C,'Activity Master Opex'!B:B,0,0,1))</f>
        <v/>
      </c>
      <c r="D39" s="180"/>
      <c r="E39" s="289" t="str">
        <f>IF(D39="","",IFERROR(VLOOKUP(D39,'Activity Master Opex'!$C:$M,6,FALSE),0))</f>
        <v/>
      </c>
      <c r="F39" s="181" t="str">
        <f>IF($C39="","",VLOOKUP($C39,'Activity Master Opex'!$B:$I,3,0))</f>
        <v/>
      </c>
      <c r="G39" s="179" t="str">
        <f>IF($C39="","",VLOOKUP($F39,#REF!,2,0))</f>
        <v/>
      </c>
      <c r="H39" s="182" t="str">
        <f>IF($C39="","",VLOOKUP($C39,'Activity Master Opex'!$B:$I,5,0))</f>
        <v/>
      </c>
      <c r="I39" s="178" t="str">
        <f>IFERROR(VLOOKUP(H39,'Activity Master Opex'!F:G,2,FALSE),"")</f>
        <v/>
      </c>
      <c r="J39" s="183">
        <v>0</v>
      </c>
      <c r="K39" s="183">
        <v>0</v>
      </c>
      <c r="L39" s="184"/>
      <c r="M39" s="184"/>
      <c r="N39" s="184"/>
      <c r="O39" s="184"/>
      <c r="P39" s="184"/>
      <c r="Q39" s="184"/>
      <c r="R39" s="184"/>
      <c r="S39" s="184"/>
      <c r="T39" s="184"/>
      <c r="U39" s="184"/>
      <c r="V39" s="184"/>
      <c r="W39" s="184"/>
      <c r="X39" s="185">
        <f t="shared" si="9"/>
        <v>0</v>
      </c>
      <c r="Y39" s="186"/>
      <c r="Z39" s="142"/>
      <c r="AA39" s="142"/>
      <c r="AB39" s="142"/>
      <c r="AC39" s="142"/>
      <c r="AD39" s="142"/>
      <c r="AE39" s="142"/>
      <c r="AF39" s="142"/>
      <c r="AG39" s="142"/>
      <c r="AH39" s="142"/>
      <c r="AI39" s="142"/>
      <c r="AJ39" s="142"/>
      <c r="AK39" s="142"/>
      <c r="AL39" s="187">
        <f t="shared" si="0"/>
        <v>0</v>
      </c>
      <c r="AM39" s="188"/>
      <c r="AN39" s="142"/>
      <c r="AO39" s="142"/>
      <c r="AP39" s="142"/>
      <c r="AQ39" s="142"/>
      <c r="AR39" s="142"/>
      <c r="AS39" s="142"/>
      <c r="AT39" s="142"/>
      <c r="AU39" s="142"/>
      <c r="AV39" s="142"/>
      <c r="AW39" s="142"/>
      <c r="AX39" s="142"/>
      <c r="AY39" s="142"/>
      <c r="AZ39" s="187">
        <f t="shared" si="1"/>
        <v>0</v>
      </c>
      <c r="BA39" s="189">
        <f t="shared" si="2"/>
        <v>0</v>
      </c>
      <c r="BB39" s="190"/>
      <c r="BC39" s="191">
        <f t="shared" si="3"/>
        <v>0</v>
      </c>
      <c r="BD39" s="192" t="str">
        <f>IF('Budget Opex Detail'!C39="","",IF(COUNTIFS('Activity Master Opex'!$B$4:$B$64,'Budget Opex Detail'!$C39)&gt;0,"","New Activity"))</f>
        <v/>
      </c>
      <c r="BE39" s="193"/>
      <c r="BF39" s="194"/>
      <c r="BG39" s="195"/>
      <c r="BH39" s="196"/>
      <c r="BI39" s="197"/>
      <c r="BJ39" s="197"/>
      <c r="BK39" s="198"/>
      <c r="BL39" s="147">
        <f t="shared" si="6"/>
        <v>0</v>
      </c>
      <c r="BM39" s="196"/>
      <c r="BN39" s="196"/>
      <c r="BO39" s="199">
        <f t="shared" si="4"/>
        <v>0</v>
      </c>
      <c r="BP39" s="200"/>
      <c r="BR39" s="202" t="str">
        <f>IF($H39="","",VLOOKUP($H39,'Master Data'!$B:$D,3,FALSE))</f>
        <v/>
      </c>
      <c r="BS39" s="202" t="str">
        <f t="shared" si="10"/>
        <v/>
      </c>
      <c r="BT39" s="202" t="str">
        <f>IF($H39="","",VLOOKUP(VALUE($H39),'Master Data'!B:I,8,FALSE))</f>
        <v/>
      </c>
    </row>
    <row r="40" spans="1:72" s="201" customFormat="1" x14ac:dyDescent="0.35">
      <c r="A40" s="178" t="str">
        <f>IF(D40="","",Cover!$D$8)</f>
        <v/>
      </c>
      <c r="B40" s="178" t="str">
        <f>IF(D40="","",Cover!$D$9)</f>
        <v/>
      </c>
      <c r="C40" s="298" t="str">
        <f>IF(D40="","",_xlfn.XLOOKUP(D40,'Activity Master Opex'!C:C,'Activity Master Opex'!B:B,0,0,1))</f>
        <v/>
      </c>
      <c r="D40" s="180"/>
      <c r="E40" s="289" t="str">
        <f>IF(D40="","",IFERROR(VLOOKUP(D40,'Activity Master Opex'!$C:$M,6,FALSE),0))</f>
        <v/>
      </c>
      <c r="F40" s="181" t="str">
        <f>IF($C40="","",VLOOKUP($C40,'Activity Master Opex'!$B:$I,3,0))</f>
        <v/>
      </c>
      <c r="G40" s="179" t="str">
        <f>IF($C40="","",VLOOKUP($F40,#REF!,2,0))</f>
        <v/>
      </c>
      <c r="H40" s="182" t="str">
        <f>IF($C40="","",VLOOKUP($C40,'Activity Master Opex'!$B:$I,5,0))</f>
        <v/>
      </c>
      <c r="I40" s="178" t="str">
        <f>IFERROR(VLOOKUP(H40,'Activity Master Opex'!F:G,2,FALSE),"")</f>
        <v/>
      </c>
      <c r="J40" s="183">
        <v>0</v>
      </c>
      <c r="K40" s="183">
        <v>0</v>
      </c>
      <c r="L40" s="184"/>
      <c r="M40" s="184"/>
      <c r="N40" s="184"/>
      <c r="O40" s="184"/>
      <c r="P40" s="184"/>
      <c r="Q40" s="184"/>
      <c r="R40" s="184"/>
      <c r="S40" s="184"/>
      <c r="T40" s="184"/>
      <c r="U40" s="184"/>
      <c r="V40" s="184"/>
      <c r="W40" s="184"/>
      <c r="X40" s="185">
        <f t="shared" si="9"/>
        <v>0</v>
      </c>
      <c r="Y40" s="186"/>
      <c r="Z40" s="142"/>
      <c r="AA40" s="142"/>
      <c r="AB40" s="142"/>
      <c r="AC40" s="142"/>
      <c r="AD40" s="142"/>
      <c r="AE40" s="142"/>
      <c r="AF40" s="142"/>
      <c r="AG40" s="142"/>
      <c r="AH40" s="142"/>
      <c r="AI40" s="142"/>
      <c r="AJ40" s="142"/>
      <c r="AK40" s="142"/>
      <c r="AL40" s="187">
        <f t="shared" si="0"/>
        <v>0</v>
      </c>
      <c r="AM40" s="188"/>
      <c r="AN40" s="142"/>
      <c r="AO40" s="142"/>
      <c r="AP40" s="142"/>
      <c r="AQ40" s="142"/>
      <c r="AR40" s="142"/>
      <c r="AS40" s="142"/>
      <c r="AT40" s="142"/>
      <c r="AU40" s="142"/>
      <c r="AV40" s="142"/>
      <c r="AW40" s="142"/>
      <c r="AX40" s="142"/>
      <c r="AY40" s="142"/>
      <c r="AZ40" s="187">
        <f t="shared" si="1"/>
        <v>0</v>
      </c>
      <c r="BA40" s="189">
        <f t="shared" si="2"/>
        <v>0</v>
      </c>
      <c r="BB40" s="190"/>
      <c r="BC40" s="191">
        <f t="shared" si="3"/>
        <v>0</v>
      </c>
      <c r="BD40" s="192" t="str">
        <f>IF('Budget Opex Detail'!C40="","",IF(COUNTIFS('Activity Master Opex'!$B$4:$B$64,'Budget Opex Detail'!$C40)&gt;0,"","New Activity"))</f>
        <v/>
      </c>
      <c r="BE40" s="193"/>
      <c r="BF40" s="194"/>
      <c r="BG40" s="195"/>
      <c r="BH40" s="196"/>
      <c r="BI40" s="197"/>
      <c r="BJ40" s="197"/>
      <c r="BK40" s="198"/>
      <c r="BL40" s="147">
        <f t="shared" si="6"/>
        <v>0</v>
      </c>
      <c r="BM40" s="196"/>
      <c r="BN40" s="196"/>
      <c r="BO40" s="199">
        <f t="shared" si="4"/>
        <v>0</v>
      </c>
      <c r="BP40" s="200"/>
      <c r="BR40" s="202" t="str">
        <f>IF($H40="","",VLOOKUP($H40,'Master Data'!$B:$D,3,FALSE))</f>
        <v/>
      </c>
      <c r="BS40" s="202" t="str">
        <f t="shared" si="10"/>
        <v/>
      </c>
      <c r="BT40" s="202" t="str">
        <f>IF($H40="","",VLOOKUP(VALUE($H40),'Master Data'!B:I,8,FALSE))</f>
        <v/>
      </c>
    </row>
    <row r="41" spans="1:72" s="201" customFormat="1" x14ac:dyDescent="0.35">
      <c r="A41" s="178" t="str">
        <f>IF(D41="","",Cover!$D$8)</f>
        <v/>
      </c>
      <c r="B41" s="178" t="str">
        <f>IF(D41="","",Cover!$D$9)</f>
        <v/>
      </c>
      <c r="C41" s="298" t="str">
        <f>IF(D41="","",_xlfn.XLOOKUP(D41,'Activity Master Opex'!C:C,'Activity Master Opex'!B:B,0,0,1))</f>
        <v/>
      </c>
      <c r="D41" s="180"/>
      <c r="E41" s="289" t="str">
        <f>IF(D41="","",IFERROR(VLOOKUP(D41,'Activity Master Opex'!$C:$M,6,FALSE),0))</f>
        <v/>
      </c>
      <c r="F41" s="181" t="str">
        <f>IF($C41="","",VLOOKUP($C41,'Activity Master Opex'!$B:$I,3,0))</f>
        <v/>
      </c>
      <c r="G41" s="179" t="str">
        <f>IF($C41="","",VLOOKUP($F41,#REF!,2,0))</f>
        <v/>
      </c>
      <c r="H41" s="182" t="str">
        <f>IF($C41="","",VLOOKUP($C41,'Activity Master Opex'!$B:$I,5,0))</f>
        <v/>
      </c>
      <c r="I41" s="178" t="str">
        <f>IFERROR(VLOOKUP(H41,'Activity Master Opex'!F:G,2,FALSE),"")</f>
        <v/>
      </c>
      <c r="J41" s="183">
        <v>0</v>
      </c>
      <c r="K41" s="183">
        <v>0</v>
      </c>
      <c r="L41" s="184"/>
      <c r="M41" s="184"/>
      <c r="N41" s="184"/>
      <c r="O41" s="184"/>
      <c r="P41" s="184"/>
      <c r="Q41" s="184"/>
      <c r="R41" s="184"/>
      <c r="S41" s="184"/>
      <c r="T41" s="184"/>
      <c r="U41" s="184"/>
      <c r="V41" s="184"/>
      <c r="W41" s="184"/>
      <c r="X41" s="185">
        <f t="shared" si="9"/>
        <v>0</v>
      </c>
      <c r="Y41" s="186"/>
      <c r="Z41" s="142"/>
      <c r="AA41" s="142"/>
      <c r="AB41" s="142"/>
      <c r="AC41" s="142"/>
      <c r="AD41" s="142"/>
      <c r="AE41" s="142"/>
      <c r="AF41" s="142"/>
      <c r="AG41" s="142"/>
      <c r="AH41" s="142"/>
      <c r="AI41" s="142"/>
      <c r="AJ41" s="142"/>
      <c r="AK41" s="142"/>
      <c r="AL41" s="187">
        <f t="shared" si="0"/>
        <v>0</v>
      </c>
      <c r="AM41" s="188"/>
      <c r="AN41" s="142"/>
      <c r="AO41" s="142"/>
      <c r="AP41" s="142"/>
      <c r="AQ41" s="142"/>
      <c r="AR41" s="142"/>
      <c r="AS41" s="142"/>
      <c r="AT41" s="142"/>
      <c r="AU41" s="142"/>
      <c r="AV41" s="142"/>
      <c r="AW41" s="142"/>
      <c r="AX41" s="142"/>
      <c r="AY41" s="142"/>
      <c r="AZ41" s="187">
        <f t="shared" si="1"/>
        <v>0</v>
      </c>
      <c r="BA41" s="189">
        <f t="shared" si="2"/>
        <v>0</v>
      </c>
      <c r="BB41" s="190"/>
      <c r="BC41" s="191">
        <f t="shared" si="3"/>
        <v>0</v>
      </c>
      <c r="BD41" s="192" t="str">
        <f>IF('Budget Opex Detail'!C41="","",IF(COUNTIFS('Activity Master Opex'!$B$4:$B$64,'Budget Opex Detail'!$C41)&gt;0,"","New Activity"))</f>
        <v/>
      </c>
      <c r="BE41" s="193"/>
      <c r="BF41" s="194"/>
      <c r="BG41" s="195"/>
      <c r="BH41" s="196"/>
      <c r="BI41" s="197"/>
      <c r="BJ41" s="197"/>
      <c r="BK41" s="198"/>
      <c r="BL41" s="147">
        <f t="shared" si="6"/>
        <v>0</v>
      </c>
      <c r="BM41" s="196"/>
      <c r="BN41" s="196"/>
      <c r="BO41" s="199">
        <f t="shared" si="4"/>
        <v>0</v>
      </c>
      <c r="BP41" s="200"/>
      <c r="BR41" s="202" t="str">
        <f>IF($H41="","",VLOOKUP($H41,'Master Data'!$B:$D,3,FALSE))</f>
        <v/>
      </c>
      <c r="BS41" s="202" t="str">
        <f t="shared" si="10"/>
        <v/>
      </c>
      <c r="BT41" s="202" t="str">
        <f>IF($H41="","",VLOOKUP(VALUE($H41),'Master Data'!B:I,8,FALSE))</f>
        <v/>
      </c>
    </row>
    <row r="42" spans="1:72" s="201" customFormat="1" x14ac:dyDescent="0.35">
      <c r="A42" s="178" t="str">
        <f>IF(D42="","",Cover!$D$8)</f>
        <v/>
      </c>
      <c r="B42" s="178" t="str">
        <f>IF(D42="","",Cover!$D$9)</f>
        <v/>
      </c>
      <c r="C42" s="298" t="str">
        <f>IF(D42="","",_xlfn.XLOOKUP(D42,'Activity Master Opex'!C:C,'Activity Master Opex'!B:B,0,0,1))</f>
        <v/>
      </c>
      <c r="D42" s="180"/>
      <c r="E42" s="289" t="str">
        <f>IF(D42="","",IFERROR(VLOOKUP(D42,'Activity Master Opex'!$C:$M,6,FALSE),0))</f>
        <v/>
      </c>
      <c r="F42" s="181" t="str">
        <f>IF($C42="","",VLOOKUP($C42,'Activity Master Opex'!$B:$I,3,0))</f>
        <v/>
      </c>
      <c r="G42" s="179" t="str">
        <f>IF($C42="","",VLOOKUP($F42,#REF!,2,0))</f>
        <v/>
      </c>
      <c r="H42" s="182" t="str">
        <f>IF($C42="","",VLOOKUP($C42,'Activity Master Opex'!$B:$I,5,0))</f>
        <v/>
      </c>
      <c r="I42" s="178" t="str">
        <f>IFERROR(VLOOKUP(H42,'Activity Master Opex'!F:G,2,FALSE),"")</f>
        <v/>
      </c>
      <c r="J42" s="183">
        <v>0</v>
      </c>
      <c r="K42" s="183">
        <v>0</v>
      </c>
      <c r="L42" s="184"/>
      <c r="M42" s="184"/>
      <c r="N42" s="184"/>
      <c r="O42" s="184"/>
      <c r="P42" s="184"/>
      <c r="Q42" s="184"/>
      <c r="R42" s="184"/>
      <c r="S42" s="184"/>
      <c r="T42" s="184"/>
      <c r="U42" s="184"/>
      <c r="V42" s="184"/>
      <c r="W42" s="184"/>
      <c r="X42" s="185">
        <f t="shared" si="9"/>
        <v>0</v>
      </c>
      <c r="Y42" s="186"/>
      <c r="Z42" s="142"/>
      <c r="AA42" s="142"/>
      <c r="AB42" s="142"/>
      <c r="AC42" s="142"/>
      <c r="AD42" s="142"/>
      <c r="AE42" s="142"/>
      <c r="AF42" s="142"/>
      <c r="AG42" s="142"/>
      <c r="AH42" s="142"/>
      <c r="AI42" s="142"/>
      <c r="AJ42" s="142"/>
      <c r="AK42" s="142"/>
      <c r="AL42" s="187">
        <f t="shared" si="0"/>
        <v>0</v>
      </c>
      <c r="AM42" s="188"/>
      <c r="AN42" s="142"/>
      <c r="AO42" s="142"/>
      <c r="AP42" s="142"/>
      <c r="AQ42" s="142"/>
      <c r="AR42" s="142"/>
      <c r="AS42" s="142"/>
      <c r="AT42" s="142"/>
      <c r="AU42" s="142"/>
      <c r="AV42" s="142"/>
      <c r="AW42" s="142"/>
      <c r="AX42" s="142"/>
      <c r="AY42" s="142"/>
      <c r="AZ42" s="187">
        <f t="shared" si="1"/>
        <v>0</v>
      </c>
      <c r="BA42" s="189">
        <f t="shared" si="2"/>
        <v>0</v>
      </c>
      <c r="BB42" s="190"/>
      <c r="BC42" s="191">
        <f t="shared" si="3"/>
        <v>0</v>
      </c>
      <c r="BD42" s="192" t="str">
        <f>IF('Budget Opex Detail'!C42="","",IF(COUNTIFS('Activity Master Opex'!$B$4:$B$64,'Budget Opex Detail'!$C42)&gt;0,"","New Activity"))</f>
        <v/>
      </c>
      <c r="BE42" s="193"/>
      <c r="BF42" s="194"/>
      <c r="BG42" s="195"/>
      <c r="BH42" s="196"/>
      <c r="BI42" s="197"/>
      <c r="BJ42" s="197"/>
      <c r="BK42" s="198"/>
      <c r="BL42" s="147">
        <f t="shared" si="6"/>
        <v>0</v>
      </c>
      <c r="BM42" s="196"/>
      <c r="BN42" s="196"/>
      <c r="BO42" s="199">
        <f t="shared" si="4"/>
        <v>0</v>
      </c>
      <c r="BP42" s="200"/>
      <c r="BR42" s="202" t="str">
        <f>IF($H42="","",VLOOKUP($H42,'Master Data'!$B:$D,3,FALSE))</f>
        <v/>
      </c>
      <c r="BS42" s="202" t="str">
        <f t="shared" si="10"/>
        <v/>
      </c>
      <c r="BT42" s="202" t="str">
        <f>IF($H42="","",VLOOKUP(VALUE($H42),'Master Data'!B:I,8,FALSE))</f>
        <v/>
      </c>
    </row>
    <row r="43" spans="1:72" s="201" customFormat="1" x14ac:dyDescent="0.35">
      <c r="A43" s="178" t="str">
        <f>IF(D43="","",Cover!$D$8)</f>
        <v/>
      </c>
      <c r="B43" s="178" t="str">
        <f>IF(D43="","",Cover!$D$9)</f>
        <v/>
      </c>
      <c r="C43" s="298" t="str">
        <f>IF(D43="","",_xlfn.XLOOKUP(D43,'Activity Master Opex'!C:C,'Activity Master Opex'!B:B,0,0,1))</f>
        <v/>
      </c>
      <c r="D43" s="180"/>
      <c r="E43" s="289" t="str">
        <f>IF(D43="","",IFERROR(VLOOKUP(D43,'Activity Master Opex'!$C:$M,6,FALSE),0))</f>
        <v/>
      </c>
      <c r="F43" s="181" t="str">
        <f>IF($C43="","",VLOOKUP($C43,'Activity Master Opex'!$B:$I,3,0))</f>
        <v/>
      </c>
      <c r="G43" s="179" t="str">
        <f>IF($C43="","",VLOOKUP($F43,#REF!,2,0))</f>
        <v/>
      </c>
      <c r="H43" s="182" t="str">
        <f>IF($C43="","",VLOOKUP($C43,'Activity Master Opex'!$B:$I,5,0))</f>
        <v/>
      </c>
      <c r="I43" s="178" t="str">
        <f>IFERROR(VLOOKUP(H43,'Activity Master Opex'!F:G,2,FALSE),"")</f>
        <v/>
      </c>
      <c r="J43" s="183">
        <v>0</v>
      </c>
      <c r="K43" s="183">
        <v>0</v>
      </c>
      <c r="L43" s="184"/>
      <c r="M43" s="184"/>
      <c r="N43" s="184"/>
      <c r="O43" s="184"/>
      <c r="P43" s="184"/>
      <c r="Q43" s="184"/>
      <c r="R43" s="184"/>
      <c r="S43" s="184"/>
      <c r="T43" s="184"/>
      <c r="U43" s="184"/>
      <c r="V43" s="184"/>
      <c r="W43" s="184"/>
      <c r="X43" s="185">
        <f t="shared" si="9"/>
        <v>0</v>
      </c>
      <c r="Y43" s="186"/>
      <c r="Z43" s="142"/>
      <c r="AA43" s="142"/>
      <c r="AB43" s="142"/>
      <c r="AC43" s="142"/>
      <c r="AD43" s="142"/>
      <c r="AE43" s="142"/>
      <c r="AF43" s="142"/>
      <c r="AG43" s="142"/>
      <c r="AH43" s="142"/>
      <c r="AI43" s="142"/>
      <c r="AJ43" s="142"/>
      <c r="AK43" s="142"/>
      <c r="AL43" s="187">
        <f t="shared" si="0"/>
        <v>0</v>
      </c>
      <c r="AM43" s="188"/>
      <c r="AN43" s="142"/>
      <c r="AO43" s="142"/>
      <c r="AP43" s="142"/>
      <c r="AQ43" s="142"/>
      <c r="AR43" s="142"/>
      <c r="AS43" s="142"/>
      <c r="AT43" s="142"/>
      <c r="AU43" s="142"/>
      <c r="AV43" s="142"/>
      <c r="AW43" s="142"/>
      <c r="AX43" s="142"/>
      <c r="AY43" s="142"/>
      <c r="AZ43" s="187">
        <f t="shared" si="1"/>
        <v>0</v>
      </c>
      <c r="BA43" s="189">
        <f t="shared" si="2"/>
        <v>0</v>
      </c>
      <c r="BB43" s="190"/>
      <c r="BC43" s="191">
        <f t="shared" si="3"/>
        <v>0</v>
      </c>
      <c r="BD43" s="192" t="str">
        <f>IF('Budget Opex Detail'!C43="","",IF(COUNTIFS('Activity Master Opex'!$B$4:$B$64,'Budget Opex Detail'!$C43)&gt;0,"","New Activity"))</f>
        <v/>
      </c>
      <c r="BE43" s="193"/>
      <c r="BF43" s="194"/>
      <c r="BG43" s="195"/>
      <c r="BH43" s="196"/>
      <c r="BI43" s="197"/>
      <c r="BJ43" s="197"/>
      <c r="BK43" s="198"/>
      <c r="BL43" s="147">
        <f t="shared" si="6"/>
        <v>0</v>
      </c>
      <c r="BM43" s="196"/>
      <c r="BN43" s="196"/>
      <c r="BO43" s="199">
        <f t="shared" si="4"/>
        <v>0</v>
      </c>
      <c r="BP43" s="200"/>
      <c r="BR43" s="202" t="str">
        <f>IF($H43="","",VLOOKUP($H43,'Master Data'!$B:$D,3,FALSE))</f>
        <v/>
      </c>
      <c r="BS43" s="202" t="str">
        <f t="shared" si="10"/>
        <v/>
      </c>
      <c r="BT43" s="202" t="str">
        <f>IF($H43="","",VLOOKUP(VALUE($H43),'Master Data'!B:I,8,FALSE))</f>
        <v/>
      </c>
    </row>
    <row r="44" spans="1:72" s="201" customFormat="1" x14ac:dyDescent="0.35">
      <c r="A44" s="178" t="str">
        <f>IF(D44="","",Cover!$D$8)</f>
        <v/>
      </c>
      <c r="B44" s="178" t="str">
        <f>IF(D44="","",Cover!$D$9)</f>
        <v/>
      </c>
      <c r="C44" s="298" t="str">
        <f>IF(D44="","",_xlfn.XLOOKUP(D44,'Activity Master Opex'!C:C,'Activity Master Opex'!B:B,0,0,1))</f>
        <v/>
      </c>
      <c r="D44" s="180"/>
      <c r="E44" s="289" t="str">
        <f>IF(D44="","",IFERROR(VLOOKUP(D44,'Activity Master Opex'!$C:$M,6,FALSE),0))</f>
        <v/>
      </c>
      <c r="F44" s="181" t="str">
        <f>IF($C44="","",VLOOKUP($C44,'Activity Master Opex'!$B:$I,3,0))</f>
        <v/>
      </c>
      <c r="G44" s="179" t="str">
        <f>IF($C44="","",VLOOKUP($F44,#REF!,2,0))</f>
        <v/>
      </c>
      <c r="H44" s="182" t="str">
        <f>IF($C44="","",VLOOKUP($C44,'Activity Master Opex'!$B:$I,5,0))</f>
        <v/>
      </c>
      <c r="I44" s="178" t="str">
        <f>IFERROR(VLOOKUP(H44,'Activity Master Opex'!F:G,2,FALSE),"")</f>
        <v/>
      </c>
      <c r="J44" s="183">
        <v>0</v>
      </c>
      <c r="K44" s="183">
        <v>0</v>
      </c>
      <c r="L44" s="184"/>
      <c r="M44" s="184"/>
      <c r="N44" s="184"/>
      <c r="O44" s="184"/>
      <c r="P44" s="184"/>
      <c r="Q44" s="184"/>
      <c r="R44" s="184"/>
      <c r="S44" s="184"/>
      <c r="T44" s="184"/>
      <c r="U44" s="184"/>
      <c r="V44" s="184"/>
      <c r="W44" s="184"/>
      <c r="X44" s="185">
        <f t="shared" si="9"/>
        <v>0</v>
      </c>
      <c r="Y44" s="186"/>
      <c r="Z44" s="142"/>
      <c r="AA44" s="142"/>
      <c r="AB44" s="142"/>
      <c r="AC44" s="142"/>
      <c r="AD44" s="142"/>
      <c r="AE44" s="142"/>
      <c r="AF44" s="142"/>
      <c r="AG44" s="142"/>
      <c r="AH44" s="142"/>
      <c r="AI44" s="142"/>
      <c r="AJ44" s="142"/>
      <c r="AK44" s="142"/>
      <c r="AL44" s="187">
        <f t="shared" si="0"/>
        <v>0</v>
      </c>
      <c r="AM44" s="188"/>
      <c r="AN44" s="142"/>
      <c r="AO44" s="142"/>
      <c r="AP44" s="142"/>
      <c r="AQ44" s="142"/>
      <c r="AR44" s="142"/>
      <c r="AS44" s="142"/>
      <c r="AT44" s="142"/>
      <c r="AU44" s="142"/>
      <c r="AV44" s="142"/>
      <c r="AW44" s="142"/>
      <c r="AX44" s="142"/>
      <c r="AY44" s="142"/>
      <c r="AZ44" s="187">
        <f t="shared" si="1"/>
        <v>0</v>
      </c>
      <c r="BA44" s="189">
        <f t="shared" si="2"/>
        <v>0</v>
      </c>
      <c r="BB44" s="190"/>
      <c r="BC44" s="191">
        <f t="shared" si="3"/>
        <v>0</v>
      </c>
      <c r="BD44" s="192" t="str">
        <f>IF('Budget Opex Detail'!C44="","",IF(COUNTIFS('Activity Master Opex'!$B$4:$B$64,'Budget Opex Detail'!$C44)&gt;0,"","New Activity"))</f>
        <v/>
      </c>
      <c r="BE44" s="193"/>
      <c r="BF44" s="194"/>
      <c r="BG44" s="195"/>
      <c r="BH44" s="196"/>
      <c r="BI44" s="197"/>
      <c r="BJ44" s="197"/>
      <c r="BK44" s="198"/>
      <c r="BL44" s="147">
        <f t="shared" si="6"/>
        <v>0</v>
      </c>
      <c r="BM44" s="196"/>
      <c r="BN44" s="196"/>
      <c r="BO44" s="199">
        <f t="shared" si="4"/>
        <v>0</v>
      </c>
      <c r="BP44" s="200"/>
      <c r="BR44" s="202" t="str">
        <f>IF($H44="","",VLOOKUP($H44,'Master Data'!$B:$D,3,FALSE))</f>
        <v/>
      </c>
      <c r="BS44" s="202" t="str">
        <f t="shared" si="10"/>
        <v/>
      </c>
      <c r="BT44" s="202" t="str">
        <f>IF($H44="","",VLOOKUP(VALUE($H44),'Master Data'!B:I,8,FALSE))</f>
        <v/>
      </c>
    </row>
    <row r="45" spans="1:72" s="201" customFormat="1" x14ac:dyDescent="0.35">
      <c r="A45" s="178" t="str">
        <f>IF(D45="","",Cover!$D$8)</f>
        <v/>
      </c>
      <c r="B45" s="178" t="str">
        <f>IF(D45="","",Cover!$D$9)</f>
        <v/>
      </c>
      <c r="C45" s="298" t="str">
        <f>IF(D45="","",_xlfn.XLOOKUP(D45,'Activity Master Opex'!C:C,'Activity Master Opex'!B:B,0,0,1))</f>
        <v/>
      </c>
      <c r="D45" s="180"/>
      <c r="E45" s="289" t="str">
        <f>IF(D45="","",IFERROR(VLOOKUP(D45,'Activity Master Opex'!$C:$M,6,FALSE),0))</f>
        <v/>
      </c>
      <c r="F45" s="181" t="str">
        <f>IF($C45="","",VLOOKUP($C45,'Activity Master Opex'!$B:$I,3,0))</f>
        <v/>
      </c>
      <c r="G45" s="179" t="str">
        <f>IF($C45="","",VLOOKUP($F45,#REF!,2,0))</f>
        <v/>
      </c>
      <c r="H45" s="182" t="str">
        <f>IF($C45="","",VLOOKUP($C45,'Activity Master Opex'!$B:$I,5,0))</f>
        <v/>
      </c>
      <c r="I45" s="178" t="str">
        <f>IFERROR(VLOOKUP(H45,'Activity Master Opex'!F:G,2,FALSE),"")</f>
        <v/>
      </c>
      <c r="J45" s="183">
        <v>0</v>
      </c>
      <c r="K45" s="183">
        <v>0</v>
      </c>
      <c r="L45" s="184"/>
      <c r="M45" s="184"/>
      <c r="N45" s="184"/>
      <c r="O45" s="184"/>
      <c r="P45" s="184"/>
      <c r="Q45" s="184"/>
      <c r="R45" s="184"/>
      <c r="S45" s="184"/>
      <c r="T45" s="184"/>
      <c r="U45" s="184"/>
      <c r="V45" s="184"/>
      <c r="W45" s="184"/>
      <c r="X45" s="185">
        <f t="shared" si="9"/>
        <v>0</v>
      </c>
      <c r="Y45" s="186"/>
      <c r="Z45" s="142"/>
      <c r="AA45" s="142"/>
      <c r="AB45" s="142"/>
      <c r="AC45" s="142"/>
      <c r="AD45" s="142"/>
      <c r="AE45" s="142"/>
      <c r="AF45" s="142"/>
      <c r="AG45" s="142"/>
      <c r="AH45" s="142"/>
      <c r="AI45" s="142"/>
      <c r="AJ45" s="142"/>
      <c r="AK45" s="142"/>
      <c r="AL45" s="187">
        <f t="shared" si="0"/>
        <v>0</v>
      </c>
      <c r="AM45" s="188"/>
      <c r="AN45" s="142"/>
      <c r="AO45" s="142"/>
      <c r="AP45" s="142"/>
      <c r="AQ45" s="142"/>
      <c r="AR45" s="142"/>
      <c r="AS45" s="142"/>
      <c r="AT45" s="142"/>
      <c r="AU45" s="142"/>
      <c r="AV45" s="142"/>
      <c r="AW45" s="142"/>
      <c r="AX45" s="142"/>
      <c r="AY45" s="142"/>
      <c r="AZ45" s="187">
        <f t="shared" si="1"/>
        <v>0</v>
      </c>
      <c r="BA45" s="189">
        <f t="shared" si="2"/>
        <v>0</v>
      </c>
      <c r="BB45" s="190"/>
      <c r="BC45" s="191">
        <f t="shared" si="3"/>
        <v>0</v>
      </c>
      <c r="BD45" s="192" t="str">
        <f>IF('Budget Opex Detail'!C45="","",IF(COUNTIFS('Activity Master Opex'!$B$4:$B$64,'Budget Opex Detail'!$C45)&gt;0,"","New Activity"))</f>
        <v/>
      </c>
      <c r="BE45" s="193"/>
      <c r="BF45" s="194"/>
      <c r="BG45" s="195"/>
      <c r="BH45" s="196"/>
      <c r="BI45" s="197"/>
      <c r="BJ45" s="197"/>
      <c r="BK45" s="198"/>
      <c r="BL45" s="147">
        <f t="shared" si="6"/>
        <v>0</v>
      </c>
      <c r="BM45" s="196"/>
      <c r="BN45" s="196"/>
      <c r="BO45" s="199">
        <f t="shared" si="4"/>
        <v>0</v>
      </c>
      <c r="BP45" s="200"/>
      <c r="BR45" s="202" t="str">
        <f>IF($H45="","",VLOOKUP($H45,'Master Data'!$B:$D,3,FALSE))</f>
        <v/>
      </c>
      <c r="BS45" s="202" t="str">
        <f t="shared" si="10"/>
        <v/>
      </c>
      <c r="BT45" s="202" t="str">
        <f>IF($H45="","",VLOOKUP(VALUE($H45),'Master Data'!B:I,8,FALSE))</f>
        <v/>
      </c>
    </row>
    <row r="46" spans="1:72" s="201" customFormat="1" x14ac:dyDescent="0.35">
      <c r="A46" s="178" t="str">
        <f>IF(D46="","",Cover!$D$8)</f>
        <v/>
      </c>
      <c r="B46" s="178" t="str">
        <f>IF(D46="","",Cover!$D$9)</f>
        <v/>
      </c>
      <c r="C46" s="298" t="str">
        <f>IF(D46="","",_xlfn.XLOOKUP(D46,'Activity Master Opex'!C:C,'Activity Master Opex'!B:B,0,0,1))</f>
        <v/>
      </c>
      <c r="D46" s="180"/>
      <c r="E46" s="289" t="str">
        <f>IF(D46="","",IFERROR(VLOOKUP(D46,'Activity Master Opex'!$C:$M,6,FALSE),0))</f>
        <v/>
      </c>
      <c r="F46" s="181" t="str">
        <f>IF($C46="","",VLOOKUP($C46,'Activity Master Opex'!$B:$I,3,0))</f>
        <v/>
      </c>
      <c r="G46" s="179" t="str">
        <f>IF($C46="","",VLOOKUP($F46,#REF!,2,0))</f>
        <v/>
      </c>
      <c r="H46" s="182" t="str">
        <f>IF($C46="","",VLOOKUP($C46,'Activity Master Opex'!$B:$I,5,0))</f>
        <v/>
      </c>
      <c r="I46" s="178" t="str">
        <f>IFERROR(VLOOKUP(H46,'Activity Master Opex'!F:G,2,FALSE),"")</f>
        <v/>
      </c>
      <c r="J46" s="183">
        <v>0</v>
      </c>
      <c r="K46" s="183">
        <v>0</v>
      </c>
      <c r="L46" s="184"/>
      <c r="M46" s="184"/>
      <c r="N46" s="184"/>
      <c r="O46" s="184"/>
      <c r="P46" s="184"/>
      <c r="Q46" s="184"/>
      <c r="R46" s="184"/>
      <c r="S46" s="184"/>
      <c r="T46" s="184"/>
      <c r="U46" s="184"/>
      <c r="V46" s="184"/>
      <c r="W46" s="184"/>
      <c r="X46" s="185">
        <f t="shared" si="9"/>
        <v>0</v>
      </c>
      <c r="Y46" s="186"/>
      <c r="Z46" s="142"/>
      <c r="AA46" s="142"/>
      <c r="AB46" s="142"/>
      <c r="AC46" s="142"/>
      <c r="AD46" s="142"/>
      <c r="AE46" s="142"/>
      <c r="AF46" s="142"/>
      <c r="AG46" s="142"/>
      <c r="AH46" s="142"/>
      <c r="AI46" s="142"/>
      <c r="AJ46" s="142"/>
      <c r="AK46" s="142"/>
      <c r="AL46" s="187">
        <f t="shared" si="0"/>
        <v>0</v>
      </c>
      <c r="AM46" s="188"/>
      <c r="AN46" s="142"/>
      <c r="AO46" s="142"/>
      <c r="AP46" s="142"/>
      <c r="AQ46" s="142"/>
      <c r="AR46" s="142"/>
      <c r="AS46" s="142"/>
      <c r="AT46" s="142"/>
      <c r="AU46" s="142"/>
      <c r="AV46" s="142"/>
      <c r="AW46" s="142"/>
      <c r="AX46" s="142"/>
      <c r="AY46" s="142"/>
      <c r="AZ46" s="187">
        <f t="shared" si="1"/>
        <v>0</v>
      </c>
      <c r="BA46" s="189">
        <f t="shared" si="2"/>
        <v>0</v>
      </c>
      <c r="BB46" s="190"/>
      <c r="BC46" s="191">
        <f t="shared" si="3"/>
        <v>0</v>
      </c>
      <c r="BD46" s="192" t="str">
        <f>IF('Budget Opex Detail'!C46="","",IF(COUNTIFS('Activity Master Opex'!$B$4:$B$64,'Budget Opex Detail'!$C46)&gt;0,"","New Activity"))</f>
        <v/>
      </c>
      <c r="BE46" s="193"/>
      <c r="BF46" s="194"/>
      <c r="BG46" s="195"/>
      <c r="BH46" s="196"/>
      <c r="BI46" s="197"/>
      <c r="BJ46" s="197"/>
      <c r="BK46" s="198"/>
      <c r="BL46" s="147">
        <f t="shared" si="6"/>
        <v>0</v>
      </c>
      <c r="BM46" s="196"/>
      <c r="BN46" s="196"/>
      <c r="BO46" s="199">
        <f t="shared" si="4"/>
        <v>0</v>
      </c>
      <c r="BP46" s="200"/>
      <c r="BR46" s="202" t="str">
        <f>IF($H46="","",VLOOKUP($H46,'Master Data'!$B:$D,3,FALSE))</f>
        <v/>
      </c>
      <c r="BS46" s="202" t="str">
        <f t="shared" si="10"/>
        <v/>
      </c>
      <c r="BT46" s="202" t="str">
        <f>IF($H46="","",VLOOKUP(VALUE($H46),'Master Data'!B:I,8,FALSE))</f>
        <v/>
      </c>
    </row>
    <row r="47" spans="1:72" s="201" customFormat="1" x14ac:dyDescent="0.35">
      <c r="A47" s="178" t="str">
        <f>IF(D47="","",Cover!$D$8)</f>
        <v/>
      </c>
      <c r="B47" s="178" t="str">
        <f>IF(D47="","",Cover!$D$9)</f>
        <v/>
      </c>
      <c r="C47" s="298" t="str">
        <f>IF(D47="","",_xlfn.XLOOKUP(D47,'Activity Master Opex'!C:C,'Activity Master Opex'!B:B,0,0,1))</f>
        <v/>
      </c>
      <c r="D47" s="180"/>
      <c r="E47" s="289" t="str">
        <f>IF(D47="","",IFERROR(VLOOKUP(D47,'Activity Master Opex'!$C:$M,6,FALSE),0))</f>
        <v/>
      </c>
      <c r="F47" s="181" t="str">
        <f>IF($C47="","",VLOOKUP($C47,'Activity Master Opex'!$B:$I,3,0))</f>
        <v/>
      </c>
      <c r="G47" s="179" t="str">
        <f>IF($C47="","",VLOOKUP($F47,#REF!,2,0))</f>
        <v/>
      </c>
      <c r="H47" s="182" t="str">
        <f>IF($C47="","",VLOOKUP($C47,'Activity Master Opex'!$B:$I,5,0))</f>
        <v/>
      </c>
      <c r="I47" s="178" t="str">
        <f>IFERROR(VLOOKUP(H47,'Activity Master Opex'!F:G,2,FALSE),"")</f>
        <v/>
      </c>
      <c r="J47" s="183">
        <v>0</v>
      </c>
      <c r="K47" s="183">
        <v>0</v>
      </c>
      <c r="L47" s="184"/>
      <c r="M47" s="184"/>
      <c r="N47" s="184"/>
      <c r="O47" s="184"/>
      <c r="P47" s="184"/>
      <c r="Q47" s="184"/>
      <c r="R47" s="184"/>
      <c r="S47" s="184"/>
      <c r="T47" s="184"/>
      <c r="U47" s="184"/>
      <c r="V47" s="184"/>
      <c r="W47" s="184"/>
      <c r="X47" s="185">
        <f t="shared" si="9"/>
        <v>0</v>
      </c>
      <c r="Y47" s="186"/>
      <c r="Z47" s="142"/>
      <c r="AA47" s="142"/>
      <c r="AB47" s="142"/>
      <c r="AC47" s="142"/>
      <c r="AD47" s="142"/>
      <c r="AE47" s="142"/>
      <c r="AF47" s="142"/>
      <c r="AG47" s="142"/>
      <c r="AH47" s="142"/>
      <c r="AI47" s="142"/>
      <c r="AJ47" s="142"/>
      <c r="AK47" s="142"/>
      <c r="AL47" s="187">
        <f t="shared" si="0"/>
        <v>0</v>
      </c>
      <c r="AM47" s="188"/>
      <c r="AN47" s="142"/>
      <c r="AO47" s="142"/>
      <c r="AP47" s="142"/>
      <c r="AQ47" s="142"/>
      <c r="AR47" s="142"/>
      <c r="AS47" s="142"/>
      <c r="AT47" s="142"/>
      <c r="AU47" s="142"/>
      <c r="AV47" s="142"/>
      <c r="AW47" s="142"/>
      <c r="AX47" s="142"/>
      <c r="AY47" s="142"/>
      <c r="AZ47" s="187">
        <f t="shared" si="1"/>
        <v>0</v>
      </c>
      <c r="BA47" s="189">
        <f t="shared" si="2"/>
        <v>0</v>
      </c>
      <c r="BB47" s="190"/>
      <c r="BC47" s="191">
        <f t="shared" si="3"/>
        <v>0</v>
      </c>
      <c r="BD47" s="192" t="str">
        <f>IF('Budget Opex Detail'!C47="","",IF(COUNTIFS('Activity Master Opex'!$B$4:$B$64,'Budget Opex Detail'!$C47)&gt;0,"","New Activity"))</f>
        <v/>
      </c>
      <c r="BE47" s="193"/>
      <c r="BF47" s="194"/>
      <c r="BG47" s="195"/>
      <c r="BH47" s="196"/>
      <c r="BI47" s="197"/>
      <c r="BJ47" s="197"/>
      <c r="BK47" s="198"/>
      <c r="BL47" s="147">
        <f t="shared" si="6"/>
        <v>0</v>
      </c>
      <c r="BM47" s="196"/>
      <c r="BN47" s="196"/>
      <c r="BO47" s="199">
        <f t="shared" si="4"/>
        <v>0</v>
      </c>
      <c r="BP47" s="200"/>
      <c r="BR47" s="202" t="str">
        <f>IF($H47="","",VLOOKUP($H47,'Master Data'!$B:$D,3,FALSE))</f>
        <v/>
      </c>
      <c r="BS47" s="202" t="str">
        <f t="shared" si="10"/>
        <v/>
      </c>
      <c r="BT47" s="202" t="str">
        <f>IF($H47="","",VLOOKUP(VALUE($H47),'Master Data'!B:I,8,FALSE))</f>
        <v/>
      </c>
    </row>
    <row r="48" spans="1:72" s="201" customFormat="1" x14ac:dyDescent="0.35">
      <c r="A48" s="178" t="str">
        <f>IF(D48="","",Cover!$D$8)</f>
        <v/>
      </c>
      <c r="B48" s="178" t="str">
        <f>IF(D48="","",Cover!$D$9)</f>
        <v/>
      </c>
      <c r="C48" s="298" t="str">
        <f>IF(D48="","",_xlfn.XLOOKUP(D48,'Activity Master Opex'!C:C,'Activity Master Opex'!B:B,0,0,1))</f>
        <v/>
      </c>
      <c r="D48" s="180"/>
      <c r="E48" s="289" t="str">
        <f>IF(D48="","",IFERROR(VLOOKUP(D48,'Activity Master Opex'!$C:$M,6,FALSE),0))</f>
        <v/>
      </c>
      <c r="F48" s="181" t="str">
        <f>IF($C48="","",VLOOKUP($C48,'Activity Master Opex'!$B:$I,3,0))</f>
        <v/>
      </c>
      <c r="G48" s="179" t="str">
        <f>IF($C48="","",VLOOKUP($F48,#REF!,2,0))</f>
        <v/>
      </c>
      <c r="H48" s="182" t="str">
        <f>IF($C48="","",VLOOKUP($C48,'Activity Master Opex'!$B:$I,5,0))</f>
        <v/>
      </c>
      <c r="I48" s="178" t="str">
        <f>IFERROR(VLOOKUP(H48,'Activity Master Opex'!F:G,2,FALSE),"")</f>
        <v/>
      </c>
      <c r="J48" s="183">
        <v>0</v>
      </c>
      <c r="K48" s="183">
        <v>0</v>
      </c>
      <c r="L48" s="184"/>
      <c r="M48" s="184"/>
      <c r="N48" s="184"/>
      <c r="O48" s="184"/>
      <c r="P48" s="184"/>
      <c r="Q48" s="184"/>
      <c r="R48" s="184"/>
      <c r="S48" s="184"/>
      <c r="T48" s="184"/>
      <c r="U48" s="184"/>
      <c r="V48" s="184"/>
      <c r="W48" s="184"/>
      <c r="X48" s="185">
        <f t="shared" si="9"/>
        <v>0</v>
      </c>
      <c r="Y48" s="186"/>
      <c r="Z48" s="142"/>
      <c r="AA48" s="142"/>
      <c r="AB48" s="142"/>
      <c r="AC48" s="142"/>
      <c r="AD48" s="142"/>
      <c r="AE48" s="142"/>
      <c r="AF48" s="142"/>
      <c r="AG48" s="142"/>
      <c r="AH48" s="142"/>
      <c r="AI48" s="142"/>
      <c r="AJ48" s="142"/>
      <c r="AK48" s="142"/>
      <c r="AL48" s="187">
        <f t="shared" si="0"/>
        <v>0</v>
      </c>
      <c r="AM48" s="188"/>
      <c r="AN48" s="142"/>
      <c r="AO48" s="142"/>
      <c r="AP48" s="142"/>
      <c r="AQ48" s="142"/>
      <c r="AR48" s="142"/>
      <c r="AS48" s="142"/>
      <c r="AT48" s="142"/>
      <c r="AU48" s="142"/>
      <c r="AV48" s="142"/>
      <c r="AW48" s="142"/>
      <c r="AX48" s="142"/>
      <c r="AY48" s="142"/>
      <c r="AZ48" s="187">
        <f t="shared" si="1"/>
        <v>0</v>
      </c>
      <c r="BA48" s="189">
        <f t="shared" si="2"/>
        <v>0</v>
      </c>
      <c r="BB48" s="190"/>
      <c r="BC48" s="191">
        <f t="shared" si="3"/>
        <v>0</v>
      </c>
      <c r="BD48" s="192" t="str">
        <f>IF('Budget Opex Detail'!C48="","",IF(COUNTIFS('Activity Master Opex'!$B$4:$B$64,'Budget Opex Detail'!$C48)&gt;0,"","New Activity"))</f>
        <v/>
      </c>
      <c r="BE48" s="193"/>
      <c r="BF48" s="194"/>
      <c r="BG48" s="195"/>
      <c r="BH48" s="196"/>
      <c r="BI48" s="197"/>
      <c r="BJ48" s="197"/>
      <c r="BK48" s="198"/>
      <c r="BL48" s="147">
        <f t="shared" si="6"/>
        <v>0</v>
      </c>
      <c r="BM48" s="196"/>
      <c r="BN48" s="196"/>
      <c r="BO48" s="199">
        <f t="shared" si="4"/>
        <v>0</v>
      </c>
      <c r="BP48" s="200"/>
      <c r="BR48" s="202" t="str">
        <f>IF($H48="","",VLOOKUP($H48,'Master Data'!$B:$D,3,FALSE))</f>
        <v/>
      </c>
      <c r="BS48" s="202" t="str">
        <f t="shared" si="10"/>
        <v/>
      </c>
      <c r="BT48" s="202" t="str">
        <f>IF($H48="","",VLOOKUP(VALUE($H48),'Master Data'!B:I,8,FALSE))</f>
        <v/>
      </c>
    </row>
    <row r="49" spans="1:72" s="201" customFormat="1" x14ac:dyDescent="0.35">
      <c r="A49" s="178" t="str">
        <f>IF(D49="","",Cover!$D$8)</f>
        <v/>
      </c>
      <c r="B49" s="178" t="str">
        <f>IF(D49="","",Cover!$D$9)</f>
        <v/>
      </c>
      <c r="C49" s="298" t="str">
        <f>IF(D49="","",_xlfn.XLOOKUP(D49,'Activity Master Opex'!C:C,'Activity Master Opex'!B:B,0,0,1))</f>
        <v/>
      </c>
      <c r="D49" s="180"/>
      <c r="E49" s="289" t="str">
        <f>IF(D49="","",IFERROR(VLOOKUP(D49,'Activity Master Opex'!$C:$M,6,FALSE),0))</f>
        <v/>
      </c>
      <c r="F49" s="181" t="str">
        <f>IF($C49="","",VLOOKUP($C49,'Activity Master Opex'!$B:$I,3,0))</f>
        <v/>
      </c>
      <c r="G49" s="179" t="str">
        <f>IF($C49="","",VLOOKUP($F49,#REF!,2,0))</f>
        <v/>
      </c>
      <c r="H49" s="182" t="str">
        <f>IF($C49="","",VLOOKUP($C49,'Activity Master Opex'!$B:$I,5,0))</f>
        <v/>
      </c>
      <c r="I49" s="178" t="str">
        <f>IFERROR(VLOOKUP(H49,'Activity Master Opex'!F:G,2,FALSE),"")</f>
        <v/>
      </c>
      <c r="J49" s="183">
        <v>0</v>
      </c>
      <c r="K49" s="183">
        <v>0</v>
      </c>
      <c r="L49" s="184"/>
      <c r="M49" s="184"/>
      <c r="N49" s="184"/>
      <c r="O49" s="184"/>
      <c r="P49" s="184"/>
      <c r="Q49" s="184"/>
      <c r="R49" s="184"/>
      <c r="S49" s="184"/>
      <c r="T49" s="184"/>
      <c r="U49" s="184"/>
      <c r="V49" s="184"/>
      <c r="W49" s="184"/>
      <c r="X49" s="185">
        <f t="shared" si="9"/>
        <v>0</v>
      </c>
      <c r="Y49" s="186"/>
      <c r="Z49" s="142"/>
      <c r="AA49" s="142"/>
      <c r="AB49" s="142"/>
      <c r="AC49" s="142"/>
      <c r="AD49" s="142"/>
      <c r="AE49" s="142"/>
      <c r="AF49" s="142"/>
      <c r="AG49" s="142"/>
      <c r="AH49" s="142"/>
      <c r="AI49" s="142"/>
      <c r="AJ49" s="142"/>
      <c r="AK49" s="142"/>
      <c r="AL49" s="187">
        <f t="shared" si="0"/>
        <v>0</v>
      </c>
      <c r="AM49" s="188"/>
      <c r="AN49" s="142"/>
      <c r="AO49" s="142"/>
      <c r="AP49" s="142"/>
      <c r="AQ49" s="142"/>
      <c r="AR49" s="142"/>
      <c r="AS49" s="142"/>
      <c r="AT49" s="142"/>
      <c r="AU49" s="142"/>
      <c r="AV49" s="142"/>
      <c r="AW49" s="142"/>
      <c r="AX49" s="142"/>
      <c r="AY49" s="142"/>
      <c r="AZ49" s="187">
        <f t="shared" si="1"/>
        <v>0</v>
      </c>
      <c r="BA49" s="189">
        <f t="shared" si="2"/>
        <v>0</v>
      </c>
      <c r="BB49" s="190"/>
      <c r="BC49" s="191">
        <f t="shared" si="3"/>
        <v>0</v>
      </c>
      <c r="BD49" s="192" t="str">
        <f>IF('Budget Opex Detail'!C49="","",IF(COUNTIFS('Activity Master Opex'!$B$4:$B$64,'Budget Opex Detail'!$C49)&gt;0,"","New Activity"))</f>
        <v/>
      </c>
      <c r="BE49" s="193"/>
      <c r="BF49" s="194"/>
      <c r="BG49" s="195"/>
      <c r="BH49" s="196"/>
      <c r="BI49" s="197"/>
      <c r="BJ49" s="197"/>
      <c r="BK49" s="198"/>
      <c r="BL49" s="147">
        <f t="shared" si="6"/>
        <v>0</v>
      </c>
      <c r="BM49" s="196"/>
      <c r="BN49" s="196"/>
      <c r="BO49" s="199">
        <f t="shared" si="4"/>
        <v>0</v>
      </c>
      <c r="BP49" s="200"/>
      <c r="BR49" s="202" t="str">
        <f>IF($H49="","",VLOOKUP($H49,'Master Data'!$B:$D,3,FALSE))</f>
        <v/>
      </c>
      <c r="BS49" s="202" t="str">
        <f t="shared" si="10"/>
        <v/>
      </c>
      <c r="BT49" s="202" t="str">
        <f>IF($H49="","",VLOOKUP(VALUE($H49),'Master Data'!B:I,8,FALSE))</f>
        <v/>
      </c>
    </row>
    <row r="50" spans="1:72" s="201" customFormat="1" x14ac:dyDescent="0.35">
      <c r="A50" s="178" t="str">
        <f>IF(D50="","",Cover!$D$8)</f>
        <v/>
      </c>
      <c r="B50" s="178" t="str">
        <f>IF(D50="","",Cover!$D$9)</f>
        <v/>
      </c>
      <c r="C50" s="298" t="str">
        <f>IF(D50="","",_xlfn.XLOOKUP(D50,'Activity Master Opex'!C:C,'Activity Master Opex'!B:B,0,0,1))</f>
        <v/>
      </c>
      <c r="D50" s="180"/>
      <c r="E50" s="289" t="str">
        <f>IF(D50="","",IFERROR(VLOOKUP(D50,'Activity Master Opex'!$C:$M,6,FALSE),0))</f>
        <v/>
      </c>
      <c r="F50" s="181" t="str">
        <f>IF($C50="","",VLOOKUP($C50,'Activity Master Opex'!$B:$I,3,0))</f>
        <v/>
      </c>
      <c r="G50" s="179" t="str">
        <f>IF($C50="","",VLOOKUP($F50,#REF!,2,0))</f>
        <v/>
      </c>
      <c r="H50" s="182" t="str">
        <f>IF($C50="","",VLOOKUP($C50,'Activity Master Opex'!$B:$I,5,0))</f>
        <v/>
      </c>
      <c r="I50" s="178" t="str">
        <f>IFERROR(VLOOKUP(H50,'Activity Master Opex'!F:G,2,FALSE),"")</f>
        <v/>
      </c>
      <c r="J50" s="183">
        <v>0</v>
      </c>
      <c r="K50" s="183">
        <v>0</v>
      </c>
      <c r="L50" s="184"/>
      <c r="M50" s="184"/>
      <c r="N50" s="184"/>
      <c r="O50" s="184"/>
      <c r="P50" s="184"/>
      <c r="Q50" s="184"/>
      <c r="R50" s="184"/>
      <c r="S50" s="184"/>
      <c r="T50" s="184"/>
      <c r="U50" s="184"/>
      <c r="V50" s="184"/>
      <c r="W50" s="184"/>
      <c r="X50" s="185">
        <f t="shared" si="9"/>
        <v>0</v>
      </c>
      <c r="Y50" s="186"/>
      <c r="Z50" s="142"/>
      <c r="AA50" s="142"/>
      <c r="AB50" s="142"/>
      <c r="AC50" s="142"/>
      <c r="AD50" s="142"/>
      <c r="AE50" s="142"/>
      <c r="AF50" s="142"/>
      <c r="AG50" s="142"/>
      <c r="AH50" s="142"/>
      <c r="AI50" s="142"/>
      <c r="AJ50" s="142"/>
      <c r="AK50" s="142"/>
      <c r="AL50" s="187">
        <f t="shared" si="0"/>
        <v>0</v>
      </c>
      <c r="AM50" s="188"/>
      <c r="AN50" s="142"/>
      <c r="AO50" s="142"/>
      <c r="AP50" s="142"/>
      <c r="AQ50" s="142"/>
      <c r="AR50" s="142"/>
      <c r="AS50" s="142"/>
      <c r="AT50" s="142"/>
      <c r="AU50" s="142"/>
      <c r="AV50" s="142"/>
      <c r="AW50" s="142"/>
      <c r="AX50" s="142"/>
      <c r="AY50" s="142"/>
      <c r="AZ50" s="187">
        <f t="shared" si="1"/>
        <v>0</v>
      </c>
      <c r="BA50" s="189">
        <f t="shared" si="2"/>
        <v>0</v>
      </c>
      <c r="BB50" s="190"/>
      <c r="BC50" s="191">
        <f t="shared" si="3"/>
        <v>0</v>
      </c>
      <c r="BD50" s="192" t="str">
        <f>IF('Budget Opex Detail'!C50="","",IF(COUNTIFS('Activity Master Opex'!$B$4:$B$64,'Budget Opex Detail'!$C50)&gt;0,"","New Activity"))</f>
        <v/>
      </c>
      <c r="BE50" s="193"/>
      <c r="BF50" s="194"/>
      <c r="BG50" s="195"/>
      <c r="BH50" s="196"/>
      <c r="BI50" s="197"/>
      <c r="BJ50" s="197"/>
      <c r="BK50" s="198"/>
      <c r="BL50" s="147">
        <f t="shared" si="6"/>
        <v>0</v>
      </c>
      <c r="BM50" s="196"/>
      <c r="BN50" s="196"/>
      <c r="BO50" s="199">
        <f t="shared" si="4"/>
        <v>0</v>
      </c>
      <c r="BP50" s="200"/>
      <c r="BR50" s="202" t="str">
        <f>IF($H50="","",VLOOKUP($H50,'Master Data'!$B:$D,3,FALSE))</f>
        <v/>
      </c>
      <c r="BS50" s="202" t="str">
        <f t="shared" si="10"/>
        <v/>
      </c>
      <c r="BT50" s="202" t="str">
        <f>IF($H50="","",VLOOKUP(VALUE($H50),'Master Data'!B:I,8,FALSE))</f>
        <v/>
      </c>
    </row>
    <row r="51" spans="1:72" s="201" customFormat="1" x14ac:dyDescent="0.35">
      <c r="A51" s="178" t="str">
        <f>IF(D51="","",Cover!$D$8)</f>
        <v/>
      </c>
      <c r="B51" s="178" t="str">
        <f>IF(D51="","",Cover!$D$9)</f>
        <v/>
      </c>
      <c r="C51" s="298" t="str">
        <f>IF(D51="","",_xlfn.XLOOKUP(D51,'Activity Master Opex'!C:C,'Activity Master Opex'!B:B,0,0,1))</f>
        <v/>
      </c>
      <c r="D51" s="180"/>
      <c r="E51" s="289" t="str">
        <f>IF(D51="","",IFERROR(VLOOKUP(D51,'Activity Master Opex'!$C:$M,6,FALSE),0))</f>
        <v/>
      </c>
      <c r="F51" s="181" t="str">
        <f>IF($C51="","",VLOOKUP($C51,'Activity Master Opex'!$B:$I,3,0))</f>
        <v/>
      </c>
      <c r="G51" s="179" t="str">
        <f>IF($C51="","",VLOOKUP($F51,#REF!,2,0))</f>
        <v/>
      </c>
      <c r="H51" s="182" t="str">
        <f>IF($C51="","",VLOOKUP($C51,'Activity Master Opex'!$B:$I,5,0))</f>
        <v/>
      </c>
      <c r="I51" s="178" t="str">
        <f>IFERROR(VLOOKUP(H51,'Activity Master Opex'!F:G,2,FALSE),"")</f>
        <v/>
      </c>
      <c r="J51" s="183">
        <v>0</v>
      </c>
      <c r="K51" s="183">
        <v>0</v>
      </c>
      <c r="L51" s="184"/>
      <c r="M51" s="184"/>
      <c r="N51" s="184"/>
      <c r="O51" s="184"/>
      <c r="P51" s="184"/>
      <c r="Q51" s="184"/>
      <c r="R51" s="184"/>
      <c r="S51" s="184"/>
      <c r="T51" s="184"/>
      <c r="U51" s="184"/>
      <c r="V51" s="184"/>
      <c r="W51" s="184"/>
      <c r="X51" s="185">
        <f t="shared" si="9"/>
        <v>0</v>
      </c>
      <c r="Y51" s="186"/>
      <c r="Z51" s="142"/>
      <c r="AA51" s="142"/>
      <c r="AB51" s="142"/>
      <c r="AC51" s="142"/>
      <c r="AD51" s="142"/>
      <c r="AE51" s="142"/>
      <c r="AF51" s="142"/>
      <c r="AG51" s="142"/>
      <c r="AH51" s="142"/>
      <c r="AI51" s="142"/>
      <c r="AJ51" s="142"/>
      <c r="AK51" s="142"/>
      <c r="AL51" s="187">
        <f t="shared" si="0"/>
        <v>0</v>
      </c>
      <c r="AM51" s="188"/>
      <c r="AN51" s="142"/>
      <c r="AO51" s="142"/>
      <c r="AP51" s="142"/>
      <c r="AQ51" s="142"/>
      <c r="AR51" s="142"/>
      <c r="AS51" s="142"/>
      <c r="AT51" s="142"/>
      <c r="AU51" s="142"/>
      <c r="AV51" s="142"/>
      <c r="AW51" s="142"/>
      <c r="AX51" s="142"/>
      <c r="AY51" s="142"/>
      <c r="AZ51" s="187">
        <f t="shared" si="1"/>
        <v>0</v>
      </c>
      <c r="BA51" s="189">
        <f t="shared" si="2"/>
        <v>0</v>
      </c>
      <c r="BB51" s="190"/>
      <c r="BC51" s="191">
        <f t="shared" si="3"/>
        <v>0</v>
      </c>
      <c r="BD51" s="192" t="str">
        <f>IF('Budget Opex Detail'!C51="","",IF(COUNTIFS('Activity Master Opex'!$B$4:$B$64,'Budget Opex Detail'!$C51)&gt;0,"","New Activity"))</f>
        <v/>
      </c>
      <c r="BE51" s="193"/>
      <c r="BF51" s="194"/>
      <c r="BG51" s="195"/>
      <c r="BH51" s="196"/>
      <c r="BI51" s="197"/>
      <c r="BJ51" s="197"/>
      <c r="BK51" s="198"/>
      <c r="BL51" s="147">
        <f t="shared" si="6"/>
        <v>0</v>
      </c>
      <c r="BM51" s="196"/>
      <c r="BN51" s="196"/>
      <c r="BO51" s="199">
        <f t="shared" si="4"/>
        <v>0</v>
      </c>
      <c r="BP51" s="200"/>
      <c r="BR51" s="202" t="str">
        <f>IF($H51="","",VLOOKUP($H51,'Master Data'!$B:$D,3,FALSE))</f>
        <v/>
      </c>
      <c r="BS51" s="202" t="str">
        <f t="shared" si="10"/>
        <v/>
      </c>
      <c r="BT51" s="202" t="str">
        <f>IF($H51="","",VLOOKUP(VALUE($H51),'Master Data'!B:I,8,FALSE))</f>
        <v/>
      </c>
    </row>
    <row r="52" spans="1:72" s="201" customFormat="1" x14ac:dyDescent="0.35">
      <c r="A52" s="178" t="str">
        <f>IF(D52="","",Cover!$D$8)</f>
        <v/>
      </c>
      <c r="B52" s="178" t="str">
        <f>IF(D52="","",Cover!$D$9)</f>
        <v/>
      </c>
      <c r="C52" s="298" t="str">
        <f>IF(D52="","",_xlfn.XLOOKUP(D52,'Activity Master Opex'!C:C,'Activity Master Opex'!B:B,0,0,1))</f>
        <v/>
      </c>
      <c r="D52" s="180"/>
      <c r="E52" s="289" t="str">
        <f>IF(D52="","",IFERROR(VLOOKUP(D52,'Activity Master Opex'!$C:$M,6,FALSE),0))</f>
        <v/>
      </c>
      <c r="F52" s="181" t="str">
        <f>IF($C52="","",VLOOKUP($C52,'Activity Master Opex'!$B:$I,3,0))</f>
        <v/>
      </c>
      <c r="G52" s="179" t="str">
        <f>IF($C52="","",VLOOKUP($F52,#REF!,2,0))</f>
        <v/>
      </c>
      <c r="H52" s="182" t="str">
        <f>IF($C52="","",VLOOKUP($C52,'Activity Master Opex'!$B:$I,5,0))</f>
        <v/>
      </c>
      <c r="I52" s="178" t="str">
        <f>IFERROR(VLOOKUP(H52,'Activity Master Opex'!F:G,2,FALSE),"")</f>
        <v/>
      </c>
      <c r="J52" s="183">
        <v>0</v>
      </c>
      <c r="K52" s="183">
        <v>0</v>
      </c>
      <c r="L52" s="184"/>
      <c r="M52" s="184"/>
      <c r="N52" s="184"/>
      <c r="O52" s="184"/>
      <c r="P52" s="184"/>
      <c r="Q52" s="184"/>
      <c r="R52" s="184"/>
      <c r="S52" s="184"/>
      <c r="T52" s="184"/>
      <c r="U52" s="184"/>
      <c r="V52" s="184"/>
      <c r="W52" s="184"/>
      <c r="X52" s="185">
        <f t="shared" si="9"/>
        <v>0</v>
      </c>
      <c r="Y52" s="186"/>
      <c r="Z52" s="142"/>
      <c r="AA52" s="142"/>
      <c r="AB52" s="142"/>
      <c r="AC52" s="142"/>
      <c r="AD52" s="142"/>
      <c r="AE52" s="142"/>
      <c r="AF52" s="142"/>
      <c r="AG52" s="142"/>
      <c r="AH52" s="142"/>
      <c r="AI52" s="142"/>
      <c r="AJ52" s="142"/>
      <c r="AK52" s="142"/>
      <c r="AL52" s="187">
        <f t="shared" si="0"/>
        <v>0</v>
      </c>
      <c r="AM52" s="188"/>
      <c r="AN52" s="142"/>
      <c r="AO52" s="142"/>
      <c r="AP52" s="142"/>
      <c r="AQ52" s="142"/>
      <c r="AR52" s="142"/>
      <c r="AS52" s="142"/>
      <c r="AT52" s="142"/>
      <c r="AU52" s="142"/>
      <c r="AV52" s="142"/>
      <c r="AW52" s="142"/>
      <c r="AX52" s="142"/>
      <c r="AY52" s="142"/>
      <c r="AZ52" s="187">
        <f t="shared" si="1"/>
        <v>0</v>
      </c>
      <c r="BA52" s="189">
        <f t="shared" si="2"/>
        <v>0</v>
      </c>
      <c r="BB52" s="190"/>
      <c r="BC52" s="191">
        <f t="shared" si="3"/>
        <v>0</v>
      </c>
      <c r="BD52" s="192" t="str">
        <f>IF('Budget Opex Detail'!C52="","",IF(COUNTIFS('Activity Master Opex'!$B$4:$B$64,'Budget Opex Detail'!$C52)&gt;0,"","New Activity"))</f>
        <v/>
      </c>
      <c r="BE52" s="193"/>
      <c r="BF52" s="194"/>
      <c r="BG52" s="195"/>
      <c r="BH52" s="196"/>
      <c r="BI52" s="197"/>
      <c r="BJ52" s="197"/>
      <c r="BK52" s="198"/>
      <c r="BL52" s="147">
        <f t="shared" si="6"/>
        <v>0</v>
      </c>
      <c r="BM52" s="196"/>
      <c r="BN52" s="196"/>
      <c r="BO52" s="199">
        <f t="shared" si="4"/>
        <v>0</v>
      </c>
      <c r="BP52" s="200"/>
      <c r="BR52" s="202" t="str">
        <f>IF($H52="","",VLOOKUP($H52,'Master Data'!$B:$D,3,FALSE))</f>
        <v/>
      </c>
      <c r="BS52" s="202" t="str">
        <f t="shared" si="10"/>
        <v/>
      </c>
      <c r="BT52" s="202" t="str">
        <f>IF($H52="","",VLOOKUP(VALUE($H52),'Master Data'!B:I,8,FALSE))</f>
        <v/>
      </c>
    </row>
    <row r="53" spans="1:72" s="201" customFormat="1" x14ac:dyDescent="0.35">
      <c r="A53" s="178" t="str">
        <f>IF(D53="","",Cover!$D$8)</f>
        <v/>
      </c>
      <c r="B53" s="178" t="str">
        <f>IF(D53="","",Cover!$D$9)</f>
        <v/>
      </c>
      <c r="C53" s="298" t="str">
        <f>IF(D53="","",_xlfn.XLOOKUP(D53,'Activity Master Opex'!C:C,'Activity Master Opex'!B:B,0,0,1))</f>
        <v/>
      </c>
      <c r="D53" s="180"/>
      <c r="E53" s="289" t="str">
        <f>IF(D53="","",IFERROR(VLOOKUP(D53,'Activity Master Opex'!$C:$M,6,FALSE),0))</f>
        <v/>
      </c>
      <c r="F53" s="181" t="str">
        <f>IF($C53="","",VLOOKUP($C53,'Activity Master Opex'!$B:$I,3,0))</f>
        <v/>
      </c>
      <c r="G53" s="179" t="str">
        <f>IF($C53="","",VLOOKUP($F53,#REF!,2,0))</f>
        <v/>
      </c>
      <c r="H53" s="182" t="str">
        <f>IF($C53="","",VLOOKUP($C53,'Activity Master Opex'!$B:$I,5,0))</f>
        <v/>
      </c>
      <c r="I53" s="178" t="str">
        <f>IFERROR(VLOOKUP(H53,'Activity Master Opex'!F:G,2,FALSE),"")</f>
        <v/>
      </c>
      <c r="J53" s="183">
        <v>0</v>
      </c>
      <c r="K53" s="183">
        <v>0</v>
      </c>
      <c r="L53" s="184"/>
      <c r="M53" s="184"/>
      <c r="N53" s="184"/>
      <c r="O53" s="184"/>
      <c r="P53" s="184"/>
      <c r="Q53" s="184"/>
      <c r="R53" s="184"/>
      <c r="S53" s="184"/>
      <c r="T53" s="184"/>
      <c r="U53" s="184"/>
      <c r="V53" s="184"/>
      <c r="W53" s="184"/>
      <c r="X53" s="185">
        <f t="shared" si="9"/>
        <v>0</v>
      </c>
      <c r="Y53" s="186"/>
      <c r="Z53" s="142"/>
      <c r="AA53" s="142"/>
      <c r="AB53" s="142"/>
      <c r="AC53" s="142"/>
      <c r="AD53" s="142"/>
      <c r="AE53" s="142"/>
      <c r="AF53" s="142"/>
      <c r="AG53" s="142"/>
      <c r="AH53" s="142"/>
      <c r="AI53" s="142"/>
      <c r="AJ53" s="142"/>
      <c r="AK53" s="142"/>
      <c r="AL53" s="187">
        <f t="shared" si="0"/>
        <v>0</v>
      </c>
      <c r="AM53" s="188"/>
      <c r="AN53" s="142"/>
      <c r="AO53" s="142"/>
      <c r="AP53" s="142"/>
      <c r="AQ53" s="142"/>
      <c r="AR53" s="142"/>
      <c r="AS53" s="142"/>
      <c r="AT53" s="142"/>
      <c r="AU53" s="142"/>
      <c r="AV53" s="142"/>
      <c r="AW53" s="142"/>
      <c r="AX53" s="142"/>
      <c r="AY53" s="142"/>
      <c r="AZ53" s="187">
        <f t="shared" si="1"/>
        <v>0</v>
      </c>
      <c r="BA53" s="189">
        <f t="shared" si="2"/>
        <v>0</v>
      </c>
      <c r="BB53" s="190"/>
      <c r="BC53" s="191">
        <f t="shared" si="3"/>
        <v>0</v>
      </c>
      <c r="BD53" s="192" t="str">
        <f>IF('Budget Opex Detail'!C53="","",IF(COUNTIFS('Activity Master Opex'!$B$4:$B$64,'Budget Opex Detail'!$C53)&gt;0,"","New Activity"))</f>
        <v/>
      </c>
      <c r="BE53" s="193"/>
      <c r="BF53" s="194"/>
      <c r="BG53" s="195"/>
      <c r="BH53" s="196"/>
      <c r="BI53" s="197"/>
      <c r="BJ53" s="197"/>
      <c r="BK53" s="198"/>
      <c r="BL53" s="147">
        <f t="shared" si="6"/>
        <v>0</v>
      </c>
      <c r="BM53" s="196"/>
      <c r="BN53" s="196"/>
      <c r="BO53" s="199">
        <f t="shared" si="4"/>
        <v>0</v>
      </c>
      <c r="BP53" s="200"/>
      <c r="BR53" s="202" t="str">
        <f>IF($H53="","",VLOOKUP($H53,'Master Data'!$B:$D,3,FALSE))</f>
        <v/>
      </c>
      <c r="BS53" s="202" t="str">
        <f t="shared" si="10"/>
        <v/>
      </c>
      <c r="BT53" s="202" t="str">
        <f>IF($H53="","",VLOOKUP(VALUE($H53),'Master Data'!B:I,8,FALSE))</f>
        <v/>
      </c>
    </row>
    <row r="54" spans="1:72" s="201" customFormat="1" x14ac:dyDescent="0.35">
      <c r="A54" s="178" t="str">
        <f>IF(D54="","",Cover!$D$8)</f>
        <v/>
      </c>
      <c r="B54" s="178" t="str">
        <f>IF(D54="","",Cover!$D$9)</f>
        <v/>
      </c>
      <c r="C54" s="298" t="str">
        <f>IF(D54="","",_xlfn.XLOOKUP(D54,'Activity Master Opex'!C:C,'Activity Master Opex'!B:B,0,0,1))</f>
        <v/>
      </c>
      <c r="D54" s="180"/>
      <c r="E54" s="289" t="str">
        <f>IF(D54="","",IFERROR(VLOOKUP(D54,'Activity Master Opex'!$C:$M,6,FALSE),0))</f>
        <v/>
      </c>
      <c r="F54" s="181" t="str">
        <f>IF($C54="","",VLOOKUP($C54,'Activity Master Opex'!$B:$I,3,0))</f>
        <v/>
      </c>
      <c r="G54" s="179" t="str">
        <f>IF($C54="","",VLOOKUP($F54,#REF!,2,0))</f>
        <v/>
      </c>
      <c r="H54" s="182" t="str">
        <f>IF($C54="","",VLOOKUP($C54,'Activity Master Opex'!$B:$I,5,0))</f>
        <v/>
      </c>
      <c r="I54" s="178" t="str">
        <f>IFERROR(VLOOKUP(H54,'Activity Master Opex'!F:G,2,FALSE),"")</f>
        <v/>
      </c>
      <c r="J54" s="183">
        <v>0</v>
      </c>
      <c r="K54" s="183">
        <v>0</v>
      </c>
      <c r="L54" s="184"/>
      <c r="M54" s="184"/>
      <c r="N54" s="184"/>
      <c r="O54" s="184"/>
      <c r="P54" s="184"/>
      <c r="Q54" s="184"/>
      <c r="R54" s="184"/>
      <c r="S54" s="184"/>
      <c r="T54" s="184"/>
      <c r="U54" s="184"/>
      <c r="V54" s="184"/>
      <c r="W54" s="184"/>
      <c r="X54" s="185">
        <f t="shared" si="9"/>
        <v>0</v>
      </c>
      <c r="Y54" s="186"/>
      <c r="Z54" s="142"/>
      <c r="AA54" s="142"/>
      <c r="AB54" s="142"/>
      <c r="AC54" s="142"/>
      <c r="AD54" s="142"/>
      <c r="AE54" s="142"/>
      <c r="AF54" s="142"/>
      <c r="AG54" s="142"/>
      <c r="AH54" s="142"/>
      <c r="AI54" s="142"/>
      <c r="AJ54" s="142"/>
      <c r="AK54" s="142"/>
      <c r="AL54" s="187">
        <f t="shared" si="0"/>
        <v>0</v>
      </c>
      <c r="AM54" s="188"/>
      <c r="AN54" s="142"/>
      <c r="AO54" s="142"/>
      <c r="AP54" s="142"/>
      <c r="AQ54" s="142"/>
      <c r="AR54" s="142"/>
      <c r="AS54" s="142"/>
      <c r="AT54" s="142"/>
      <c r="AU54" s="142"/>
      <c r="AV54" s="142"/>
      <c r="AW54" s="142"/>
      <c r="AX54" s="142"/>
      <c r="AY54" s="142"/>
      <c r="AZ54" s="187">
        <f t="shared" si="1"/>
        <v>0</v>
      </c>
      <c r="BA54" s="189">
        <f t="shared" si="2"/>
        <v>0</v>
      </c>
      <c r="BB54" s="190"/>
      <c r="BC54" s="191">
        <f t="shared" si="3"/>
        <v>0</v>
      </c>
      <c r="BD54" s="192" t="str">
        <f>IF('Budget Opex Detail'!C54="","",IF(COUNTIFS('Activity Master Opex'!$B$4:$B$64,'Budget Opex Detail'!$C54)&gt;0,"","New Activity"))</f>
        <v/>
      </c>
      <c r="BE54" s="193"/>
      <c r="BF54" s="194"/>
      <c r="BG54" s="195"/>
      <c r="BH54" s="196"/>
      <c r="BI54" s="197"/>
      <c r="BJ54" s="197"/>
      <c r="BK54" s="198"/>
      <c r="BL54" s="147">
        <f t="shared" si="6"/>
        <v>0</v>
      </c>
      <c r="BM54" s="196"/>
      <c r="BN54" s="196"/>
      <c r="BO54" s="199">
        <f t="shared" si="4"/>
        <v>0</v>
      </c>
      <c r="BP54" s="200"/>
      <c r="BR54" s="202" t="str">
        <f>IF($H54="","",VLOOKUP($H54,'Master Data'!$B:$D,3,FALSE))</f>
        <v/>
      </c>
      <c r="BS54" s="202" t="str">
        <f t="shared" si="10"/>
        <v/>
      </c>
      <c r="BT54" s="202" t="str">
        <f>IF($H54="","",VLOOKUP(VALUE($H54),'Master Data'!B:I,8,FALSE))</f>
        <v/>
      </c>
    </row>
    <row r="55" spans="1:72" s="201" customFormat="1" x14ac:dyDescent="0.35">
      <c r="A55" s="178" t="str">
        <f>IF(D55="","",Cover!$D$8)</f>
        <v/>
      </c>
      <c r="B55" s="178" t="str">
        <f>IF(D55="","",Cover!$D$9)</f>
        <v/>
      </c>
      <c r="C55" s="298" t="str">
        <f>IF(D55="","",_xlfn.XLOOKUP(D55,'Activity Master Opex'!C:C,'Activity Master Opex'!B:B,0,0,1))</f>
        <v/>
      </c>
      <c r="D55" s="180"/>
      <c r="E55" s="289" t="str">
        <f>IF(D55="","",IFERROR(VLOOKUP(D55,'Activity Master Opex'!$C:$M,6,FALSE),0))</f>
        <v/>
      </c>
      <c r="F55" s="181" t="str">
        <f>IF($C55="","",VLOOKUP($C55,'Activity Master Opex'!$B:$I,3,0))</f>
        <v/>
      </c>
      <c r="G55" s="179" t="str">
        <f>IF($C55="","",VLOOKUP($F55,#REF!,2,0))</f>
        <v/>
      </c>
      <c r="H55" s="182" t="str">
        <f>IF($C55="","",VLOOKUP($C55,'Activity Master Opex'!$B:$I,5,0))</f>
        <v/>
      </c>
      <c r="I55" s="178" t="str">
        <f>IFERROR(VLOOKUP(H55,'Activity Master Opex'!F:G,2,FALSE),"")</f>
        <v/>
      </c>
      <c r="J55" s="183">
        <v>0</v>
      </c>
      <c r="K55" s="183">
        <v>0</v>
      </c>
      <c r="L55" s="184"/>
      <c r="M55" s="184"/>
      <c r="N55" s="184"/>
      <c r="O55" s="184"/>
      <c r="P55" s="184"/>
      <c r="Q55" s="184"/>
      <c r="R55" s="184"/>
      <c r="S55" s="184"/>
      <c r="T55" s="184"/>
      <c r="U55" s="184"/>
      <c r="V55" s="184"/>
      <c r="W55" s="184"/>
      <c r="X55" s="185">
        <f t="shared" si="9"/>
        <v>0</v>
      </c>
      <c r="Y55" s="186"/>
      <c r="Z55" s="142"/>
      <c r="AA55" s="142"/>
      <c r="AB55" s="142"/>
      <c r="AC55" s="142"/>
      <c r="AD55" s="142"/>
      <c r="AE55" s="142"/>
      <c r="AF55" s="142"/>
      <c r="AG55" s="142"/>
      <c r="AH55" s="142"/>
      <c r="AI55" s="142"/>
      <c r="AJ55" s="142"/>
      <c r="AK55" s="142"/>
      <c r="AL55" s="187">
        <f t="shared" si="0"/>
        <v>0</v>
      </c>
      <c r="AM55" s="188"/>
      <c r="AN55" s="142"/>
      <c r="AO55" s="142"/>
      <c r="AP55" s="142"/>
      <c r="AQ55" s="142"/>
      <c r="AR55" s="142"/>
      <c r="AS55" s="142"/>
      <c r="AT55" s="142"/>
      <c r="AU55" s="142"/>
      <c r="AV55" s="142"/>
      <c r="AW55" s="142"/>
      <c r="AX55" s="142"/>
      <c r="AY55" s="142"/>
      <c r="AZ55" s="187">
        <f t="shared" si="1"/>
        <v>0</v>
      </c>
      <c r="BA55" s="189">
        <f t="shared" si="2"/>
        <v>0</v>
      </c>
      <c r="BB55" s="190"/>
      <c r="BC55" s="191">
        <f t="shared" si="3"/>
        <v>0</v>
      </c>
      <c r="BD55" s="192" t="str">
        <f>IF('Budget Opex Detail'!C55="","",IF(COUNTIFS('Activity Master Opex'!$B$4:$B$64,'Budget Opex Detail'!$C55)&gt;0,"","New Activity"))</f>
        <v/>
      </c>
      <c r="BE55" s="193"/>
      <c r="BF55" s="194"/>
      <c r="BG55" s="195"/>
      <c r="BH55" s="196"/>
      <c r="BI55" s="197"/>
      <c r="BJ55" s="197"/>
      <c r="BK55" s="198"/>
      <c r="BL55" s="147">
        <f t="shared" si="6"/>
        <v>0</v>
      </c>
      <c r="BM55" s="196"/>
      <c r="BN55" s="196"/>
      <c r="BO55" s="199">
        <f t="shared" si="4"/>
        <v>0</v>
      </c>
      <c r="BP55" s="200"/>
      <c r="BR55" s="202" t="str">
        <f>IF($H55="","",VLOOKUP($H55,'Master Data'!$B:$D,3,FALSE))</f>
        <v/>
      </c>
      <c r="BS55" s="202" t="str">
        <f t="shared" si="10"/>
        <v/>
      </c>
      <c r="BT55" s="202" t="str">
        <f>IF($H55="","",VLOOKUP(VALUE($H55),'Master Data'!B:I,8,FALSE))</f>
        <v/>
      </c>
    </row>
    <row r="56" spans="1:72" s="201" customFormat="1" x14ac:dyDescent="0.35">
      <c r="A56" s="178" t="str">
        <f>IF(D56="","",Cover!$D$8)</f>
        <v/>
      </c>
      <c r="B56" s="178" t="str">
        <f>IF(D56="","",Cover!$D$9)</f>
        <v/>
      </c>
      <c r="C56" s="298" t="str">
        <f>IF(D56="","",_xlfn.XLOOKUP(D56,'Activity Master Opex'!C:C,'Activity Master Opex'!B:B,0,0,1))</f>
        <v/>
      </c>
      <c r="D56" s="180"/>
      <c r="E56" s="289" t="str">
        <f>IF(D56="","",IFERROR(VLOOKUP(D56,'Activity Master Opex'!$C:$M,6,FALSE),0))</f>
        <v/>
      </c>
      <c r="F56" s="181" t="str">
        <f>IF($C56="","",VLOOKUP($C56,'Activity Master Opex'!$B:$I,3,0))</f>
        <v/>
      </c>
      <c r="G56" s="179" t="str">
        <f>IF($C56="","",VLOOKUP($F56,#REF!,2,0))</f>
        <v/>
      </c>
      <c r="H56" s="182" t="str">
        <f>IF($C56="","",VLOOKUP($C56,'Activity Master Opex'!$B:$I,5,0))</f>
        <v/>
      </c>
      <c r="I56" s="178" t="str">
        <f>IFERROR(VLOOKUP(H56,'Activity Master Opex'!F:G,2,FALSE),"")</f>
        <v/>
      </c>
      <c r="J56" s="183">
        <v>0</v>
      </c>
      <c r="K56" s="183">
        <v>0</v>
      </c>
      <c r="L56" s="184"/>
      <c r="M56" s="184"/>
      <c r="N56" s="184"/>
      <c r="O56" s="184"/>
      <c r="P56" s="184"/>
      <c r="Q56" s="184"/>
      <c r="R56" s="184"/>
      <c r="S56" s="184"/>
      <c r="T56" s="184"/>
      <c r="U56" s="184"/>
      <c r="V56" s="184"/>
      <c r="W56" s="184"/>
      <c r="X56" s="185">
        <f t="shared" si="9"/>
        <v>0</v>
      </c>
      <c r="Y56" s="186"/>
      <c r="Z56" s="142"/>
      <c r="AA56" s="142"/>
      <c r="AB56" s="142"/>
      <c r="AC56" s="142"/>
      <c r="AD56" s="142"/>
      <c r="AE56" s="142"/>
      <c r="AF56" s="142"/>
      <c r="AG56" s="142"/>
      <c r="AH56" s="142"/>
      <c r="AI56" s="142"/>
      <c r="AJ56" s="142"/>
      <c r="AK56" s="142"/>
      <c r="AL56" s="187">
        <f t="shared" si="0"/>
        <v>0</v>
      </c>
      <c r="AM56" s="188"/>
      <c r="AN56" s="142"/>
      <c r="AO56" s="142"/>
      <c r="AP56" s="142"/>
      <c r="AQ56" s="142"/>
      <c r="AR56" s="142"/>
      <c r="AS56" s="142"/>
      <c r="AT56" s="142"/>
      <c r="AU56" s="142"/>
      <c r="AV56" s="142"/>
      <c r="AW56" s="142"/>
      <c r="AX56" s="142"/>
      <c r="AY56" s="142"/>
      <c r="AZ56" s="187">
        <f t="shared" si="1"/>
        <v>0</v>
      </c>
      <c r="BA56" s="189">
        <f t="shared" si="2"/>
        <v>0</v>
      </c>
      <c r="BB56" s="190"/>
      <c r="BC56" s="191">
        <f t="shared" si="3"/>
        <v>0</v>
      </c>
      <c r="BD56" s="192" t="str">
        <f>IF('Budget Opex Detail'!C56="","",IF(COUNTIFS('Activity Master Opex'!$B$4:$B$64,'Budget Opex Detail'!$C56)&gt;0,"","New Activity"))</f>
        <v/>
      </c>
      <c r="BE56" s="193"/>
      <c r="BF56" s="194"/>
      <c r="BG56" s="195"/>
      <c r="BH56" s="196"/>
      <c r="BI56" s="197"/>
      <c r="BJ56" s="197"/>
      <c r="BK56" s="198"/>
      <c r="BL56" s="147">
        <f t="shared" si="6"/>
        <v>0</v>
      </c>
      <c r="BM56" s="196"/>
      <c r="BN56" s="196"/>
      <c r="BO56" s="199">
        <f t="shared" si="4"/>
        <v>0</v>
      </c>
      <c r="BP56" s="200"/>
      <c r="BR56" s="202" t="str">
        <f>IF($H56="","",VLOOKUP($H56,'Master Data'!$B:$D,3,FALSE))</f>
        <v/>
      </c>
      <c r="BS56" s="202" t="str">
        <f t="shared" si="10"/>
        <v/>
      </c>
      <c r="BT56" s="202" t="str">
        <f>IF($H56="","",VLOOKUP(VALUE($H56),'Master Data'!B:I,8,FALSE))</f>
        <v/>
      </c>
    </row>
    <row r="57" spans="1:72" s="201" customFormat="1" x14ac:dyDescent="0.35">
      <c r="A57" s="178" t="str">
        <f>IF(D57="","",Cover!$D$8)</f>
        <v/>
      </c>
      <c r="B57" s="178" t="str">
        <f>IF(D57="","",Cover!$D$9)</f>
        <v/>
      </c>
      <c r="C57" s="298" t="str">
        <f>IF(D57="","",_xlfn.XLOOKUP(D57,'Activity Master Opex'!C:C,'Activity Master Opex'!B:B,0,0,1))</f>
        <v/>
      </c>
      <c r="D57" s="180"/>
      <c r="E57" s="289" t="str">
        <f>IF(D57="","",IFERROR(VLOOKUP(D57,'Activity Master Opex'!$C:$M,6,FALSE),0))</f>
        <v/>
      </c>
      <c r="F57" s="181" t="str">
        <f>IF($C57="","",VLOOKUP($C57,'Activity Master Opex'!$B:$I,3,0))</f>
        <v/>
      </c>
      <c r="G57" s="179" t="str">
        <f>IF($C57="","",VLOOKUP($F57,#REF!,2,0))</f>
        <v/>
      </c>
      <c r="H57" s="182" t="str">
        <f>IF($C57="","",VLOOKUP($C57,'Activity Master Opex'!$B:$I,5,0))</f>
        <v/>
      </c>
      <c r="I57" s="178" t="str">
        <f>IFERROR(VLOOKUP(H57,'Activity Master Opex'!F:G,2,FALSE),"")</f>
        <v/>
      </c>
      <c r="J57" s="183">
        <v>0</v>
      </c>
      <c r="K57" s="183">
        <v>0</v>
      </c>
      <c r="L57" s="184"/>
      <c r="M57" s="184"/>
      <c r="N57" s="184"/>
      <c r="O57" s="184"/>
      <c r="P57" s="184"/>
      <c r="Q57" s="184"/>
      <c r="R57" s="184"/>
      <c r="S57" s="184"/>
      <c r="T57" s="184"/>
      <c r="U57" s="184"/>
      <c r="V57" s="184"/>
      <c r="W57" s="184"/>
      <c r="X57" s="185">
        <f t="shared" si="9"/>
        <v>0</v>
      </c>
      <c r="Y57" s="186"/>
      <c r="Z57" s="142"/>
      <c r="AA57" s="142"/>
      <c r="AB57" s="142"/>
      <c r="AC57" s="142"/>
      <c r="AD57" s="142"/>
      <c r="AE57" s="142"/>
      <c r="AF57" s="142"/>
      <c r="AG57" s="142"/>
      <c r="AH57" s="142"/>
      <c r="AI57" s="142"/>
      <c r="AJ57" s="142"/>
      <c r="AK57" s="142"/>
      <c r="AL57" s="187">
        <f t="shared" si="0"/>
        <v>0</v>
      </c>
      <c r="AM57" s="188"/>
      <c r="AN57" s="142"/>
      <c r="AO57" s="142"/>
      <c r="AP57" s="142"/>
      <c r="AQ57" s="142"/>
      <c r="AR57" s="142"/>
      <c r="AS57" s="142"/>
      <c r="AT57" s="142"/>
      <c r="AU57" s="142"/>
      <c r="AV57" s="142"/>
      <c r="AW57" s="142"/>
      <c r="AX57" s="142"/>
      <c r="AY57" s="142"/>
      <c r="AZ57" s="187">
        <f t="shared" si="1"/>
        <v>0</v>
      </c>
      <c r="BA57" s="189">
        <f t="shared" si="2"/>
        <v>0</v>
      </c>
      <c r="BB57" s="190"/>
      <c r="BC57" s="191">
        <f t="shared" si="3"/>
        <v>0</v>
      </c>
      <c r="BD57" s="192" t="str">
        <f>IF('Budget Opex Detail'!C57="","",IF(COUNTIFS('Activity Master Opex'!$B$4:$B$64,'Budget Opex Detail'!$C57)&gt;0,"","New Activity"))</f>
        <v/>
      </c>
      <c r="BE57" s="193"/>
      <c r="BF57" s="194"/>
      <c r="BG57" s="195"/>
      <c r="BH57" s="196"/>
      <c r="BI57" s="197"/>
      <c r="BJ57" s="197"/>
      <c r="BK57" s="198"/>
      <c r="BL57" s="147">
        <f t="shared" si="6"/>
        <v>0</v>
      </c>
      <c r="BM57" s="196"/>
      <c r="BN57" s="196"/>
      <c r="BO57" s="199">
        <f t="shared" si="4"/>
        <v>0</v>
      </c>
      <c r="BP57" s="200"/>
      <c r="BR57" s="202" t="str">
        <f>IF($H57="","",VLOOKUP($H57,'Master Data'!$B:$D,3,FALSE))</f>
        <v/>
      </c>
      <c r="BS57" s="202" t="str">
        <f t="shared" si="10"/>
        <v/>
      </c>
      <c r="BT57" s="202" t="str">
        <f>IF($H57="","",VLOOKUP(VALUE($H57),'Master Data'!B:I,8,FALSE))</f>
        <v/>
      </c>
    </row>
    <row r="58" spans="1:72" s="201" customFormat="1" x14ac:dyDescent="0.35">
      <c r="A58" s="178" t="str">
        <f>IF(D58="","",Cover!$D$8)</f>
        <v/>
      </c>
      <c r="B58" s="178" t="str">
        <f>IF(D58="","",Cover!$D$9)</f>
        <v/>
      </c>
      <c r="C58" s="298" t="str">
        <f>IF(D58="","",_xlfn.XLOOKUP(D58,'Activity Master Opex'!C:C,'Activity Master Opex'!B:B,0,0,1))</f>
        <v/>
      </c>
      <c r="D58" s="180"/>
      <c r="E58" s="289" t="str">
        <f>IF(D58="","",IFERROR(VLOOKUP(D58,'Activity Master Opex'!$C:$M,6,FALSE),0))</f>
        <v/>
      </c>
      <c r="F58" s="181" t="str">
        <f>IF($C58="","",VLOOKUP($C58,'Activity Master Opex'!$B:$I,3,0))</f>
        <v/>
      </c>
      <c r="G58" s="179" t="str">
        <f>IF($C58="","",VLOOKUP($F58,#REF!,2,0))</f>
        <v/>
      </c>
      <c r="H58" s="182" t="str">
        <f>IF($C58="","",VLOOKUP($C58,'Activity Master Opex'!$B:$I,5,0))</f>
        <v/>
      </c>
      <c r="I58" s="178" t="str">
        <f>IFERROR(VLOOKUP(H58,'Activity Master Opex'!F:G,2,FALSE),"")</f>
        <v/>
      </c>
      <c r="J58" s="183">
        <v>0</v>
      </c>
      <c r="K58" s="183">
        <v>0</v>
      </c>
      <c r="L58" s="184"/>
      <c r="M58" s="184"/>
      <c r="N58" s="184"/>
      <c r="O58" s="184"/>
      <c r="P58" s="184"/>
      <c r="Q58" s="184"/>
      <c r="R58" s="184"/>
      <c r="S58" s="184"/>
      <c r="T58" s="184"/>
      <c r="U58" s="184"/>
      <c r="V58" s="184"/>
      <c r="W58" s="184"/>
      <c r="X58" s="185">
        <f t="shared" si="9"/>
        <v>0</v>
      </c>
      <c r="Y58" s="186"/>
      <c r="Z58" s="142"/>
      <c r="AA58" s="142"/>
      <c r="AB58" s="142"/>
      <c r="AC58" s="142"/>
      <c r="AD58" s="142"/>
      <c r="AE58" s="142"/>
      <c r="AF58" s="142"/>
      <c r="AG58" s="142"/>
      <c r="AH58" s="142"/>
      <c r="AI58" s="142"/>
      <c r="AJ58" s="142"/>
      <c r="AK58" s="142"/>
      <c r="AL58" s="187">
        <f t="shared" si="0"/>
        <v>0</v>
      </c>
      <c r="AM58" s="188"/>
      <c r="AN58" s="142"/>
      <c r="AO58" s="142"/>
      <c r="AP58" s="142"/>
      <c r="AQ58" s="142"/>
      <c r="AR58" s="142"/>
      <c r="AS58" s="142"/>
      <c r="AT58" s="142"/>
      <c r="AU58" s="142"/>
      <c r="AV58" s="142"/>
      <c r="AW58" s="142"/>
      <c r="AX58" s="142"/>
      <c r="AY58" s="142"/>
      <c r="AZ58" s="187">
        <f t="shared" si="1"/>
        <v>0</v>
      </c>
      <c r="BA58" s="189">
        <f t="shared" si="2"/>
        <v>0</v>
      </c>
      <c r="BB58" s="190"/>
      <c r="BC58" s="191">
        <f t="shared" si="3"/>
        <v>0</v>
      </c>
      <c r="BD58" s="192" t="str">
        <f>IF('Budget Opex Detail'!C58="","",IF(COUNTIFS('Activity Master Opex'!$B$4:$B$64,'Budget Opex Detail'!$C58)&gt;0,"","New Activity"))</f>
        <v/>
      </c>
      <c r="BE58" s="193"/>
      <c r="BF58" s="194"/>
      <c r="BG58" s="195"/>
      <c r="BH58" s="196"/>
      <c r="BI58" s="197"/>
      <c r="BJ58" s="197"/>
      <c r="BK58" s="198"/>
      <c r="BL58" s="147">
        <f t="shared" si="6"/>
        <v>0</v>
      </c>
      <c r="BM58" s="196"/>
      <c r="BN58" s="196"/>
      <c r="BO58" s="199">
        <f t="shared" si="4"/>
        <v>0</v>
      </c>
      <c r="BP58" s="200"/>
      <c r="BR58" s="202" t="str">
        <f>IF($H58="","",VLOOKUP($H58,'Master Data'!$B:$D,3,FALSE))</f>
        <v/>
      </c>
      <c r="BS58" s="202" t="str">
        <f t="shared" si="10"/>
        <v/>
      </c>
      <c r="BT58" s="202" t="str">
        <f>IF($H58="","",VLOOKUP(VALUE($H58),'Master Data'!B:I,8,FALSE))</f>
        <v/>
      </c>
    </row>
    <row r="59" spans="1:72" s="201" customFormat="1" x14ac:dyDescent="0.35">
      <c r="A59" s="178" t="str">
        <f>IF(D59="","",Cover!$D$8)</f>
        <v/>
      </c>
      <c r="B59" s="178" t="str">
        <f>IF(D59="","",Cover!$D$9)</f>
        <v/>
      </c>
      <c r="C59" s="298" t="str">
        <f>IF(D59="","",_xlfn.XLOOKUP(D59,'Activity Master Opex'!C:C,'Activity Master Opex'!B:B,0,0,1))</f>
        <v/>
      </c>
      <c r="D59" s="180"/>
      <c r="E59" s="289" t="str">
        <f>IF(D59="","",IFERROR(VLOOKUP(D59,'Activity Master Opex'!$C:$M,6,FALSE),0))</f>
        <v/>
      </c>
      <c r="F59" s="181" t="str">
        <f>IF($C59="","",VLOOKUP($C59,'Activity Master Opex'!$B:$I,3,0))</f>
        <v/>
      </c>
      <c r="G59" s="179" t="str">
        <f>IF($C59="","",VLOOKUP($F59,#REF!,2,0))</f>
        <v/>
      </c>
      <c r="H59" s="182" t="str">
        <f>IF($C59="","",VLOOKUP($C59,'Activity Master Opex'!$B:$I,5,0))</f>
        <v/>
      </c>
      <c r="I59" s="178" t="str">
        <f>IFERROR(VLOOKUP(H59,'Activity Master Opex'!F:G,2,FALSE),"")</f>
        <v/>
      </c>
      <c r="J59" s="183">
        <v>0</v>
      </c>
      <c r="K59" s="183">
        <v>0</v>
      </c>
      <c r="L59" s="184"/>
      <c r="M59" s="184"/>
      <c r="N59" s="184"/>
      <c r="O59" s="184"/>
      <c r="P59" s="184"/>
      <c r="Q59" s="184"/>
      <c r="R59" s="184"/>
      <c r="S59" s="184"/>
      <c r="T59" s="184"/>
      <c r="U59" s="184"/>
      <c r="V59" s="184"/>
      <c r="W59" s="184"/>
      <c r="X59" s="185">
        <f t="shared" si="9"/>
        <v>0</v>
      </c>
      <c r="Y59" s="186"/>
      <c r="Z59" s="142"/>
      <c r="AA59" s="142"/>
      <c r="AB59" s="142"/>
      <c r="AC59" s="142"/>
      <c r="AD59" s="142"/>
      <c r="AE59" s="142"/>
      <c r="AF59" s="142"/>
      <c r="AG59" s="142"/>
      <c r="AH59" s="142"/>
      <c r="AI59" s="142"/>
      <c r="AJ59" s="142"/>
      <c r="AK59" s="142"/>
      <c r="AL59" s="187">
        <f t="shared" si="0"/>
        <v>0</v>
      </c>
      <c r="AM59" s="188"/>
      <c r="AN59" s="142"/>
      <c r="AO59" s="142"/>
      <c r="AP59" s="142"/>
      <c r="AQ59" s="142"/>
      <c r="AR59" s="142"/>
      <c r="AS59" s="142"/>
      <c r="AT59" s="142"/>
      <c r="AU59" s="142"/>
      <c r="AV59" s="142"/>
      <c r="AW59" s="142"/>
      <c r="AX59" s="142"/>
      <c r="AY59" s="142"/>
      <c r="AZ59" s="187">
        <f t="shared" si="1"/>
        <v>0</v>
      </c>
      <c r="BA59" s="189">
        <f t="shared" si="2"/>
        <v>0</v>
      </c>
      <c r="BB59" s="190"/>
      <c r="BC59" s="191">
        <f t="shared" si="3"/>
        <v>0</v>
      </c>
      <c r="BD59" s="192" t="str">
        <f>IF('Budget Opex Detail'!C59="","",IF(COUNTIFS('Activity Master Opex'!$B$4:$B$64,'Budget Opex Detail'!$C59)&gt;0,"","New Activity"))</f>
        <v/>
      </c>
      <c r="BE59" s="193"/>
      <c r="BF59" s="194"/>
      <c r="BG59" s="195"/>
      <c r="BH59" s="196"/>
      <c r="BI59" s="197"/>
      <c r="BJ59" s="197"/>
      <c r="BK59" s="198"/>
      <c r="BL59" s="147">
        <f t="shared" si="6"/>
        <v>0</v>
      </c>
      <c r="BM59" s="196"/>
      <c r="BN59" s="196"/>
      <c r="BO59" s="199">
        <f t="shared" si="4"/>
        <v>0</v>
      </c>
      <c r="BP59" s="200"/>
      <c r="BR59" s="202" t="str">
        <f>IF($H59="","",VLOOKUP($H59,'Master Data'!$B:$D,3,FALSE))</f>
        <v/>
      </c>
      <c r="BS59" s="202" t="str">
        <f t="shared" si="10"/>
        <v/>
      </c>
      <c r="BT59" s="202" t="str">
        <f>IF($H59="","",VLOOKUP(VALUE($H59),'Master Data'!B:I,8,FALSE))</f>
        <v/>
      </c>
    </row>
    <row r="60" spans="1:72" s="201" customFormat="1" x14ac:dyDescent="0.35">
      <c r="A60" s="178" t="str">
        <f>IF(D60="","",Cover!$D$8)</f>
        <v/>
      </c>
      <c r="B60" s="178" t="str">
        <f>IF(D60="","",Cover!$D$9)</f>
        <v/>
      </c>
      <c r="C60" s="298" t="str">
        <f>IF(D60="","",_xlfn.XLOOKUP(D60,'Activity Master Opex'!C:C,'Activity Master Opex'!B:B,0,0,1))</f>
        <v/>
      </c>
      <c r="D60" s="180"/>
      <c r="E60" s="289" t="str">
        <f>IF(D60="","",IFERROR(VLOOKUP(D60,'Activity Master Opex'!$C:$M,6,FALSE),0))</f>
        <v/>
      </c>
      <c r="F60" s="181" t="str">
        <f>IF($C60="","",VLOOKUP($C60,'Activity Master Opex'!$B:$I,3,0))</f>
        <v/>
      </c>
      <c r="G60" s="179" t="str">
        <f>IF($C60="","",VLOOKUP($F60,#REF!,2,0))</f>
        <v/>
      </c>
      <c r="H60" s="182" t="str">
        <f>IF($C60="","",VLOOKUP($C60,'Activity Master Opex'!$B:$I,5,0))</f>
        <v/>
      </c>
      <c r="I60" s="178" t="str">
        <f>IFERROR(VLOOKUP(H60,'Activity Master Opex'!F:G,2,FALSE),"")</f>
        <v/>
      </c>
      <c r="J60" s="183">
        <v>0</v>
      </c>
      <c r="K60" s="183">
        <v>0</v>
      </c>
      <c r="L60" s="184"/>
      <c r="M60" s="184"/>
      <c r="N60" s="184"/>
      <c r="O60" s="184"/>
      <c r="P60" s="184"/>
      <c r="Q60" s="184"/>
      <c r="R60" s="184"/>
      <c r="S60" s="184"/>
      <c r="T60" s="184"/>
      <c r="U60" s="184"/>
      <c r="V60" s="184"/>
      <c r="W60" s="184"/>
      <c r="X60" s="185">
        <f t="shared" si="9"/>
        <v>0</v>
      </c>
      <c r="Y60" s="186"/>
      <c r="Z60" s="142"/>
      <c r="AA60" s="142"/>
      <c r="AB60" s="142"/>
      <c r="AC60" s="142"/>
      <c r="AD60" s="142"/>
      <c r="AE60" s="142"/>
      <c r="AF60" s="142"/>
      <c r="AG60" s="142"/>
      <c r="AH60" s="142"/>
      <c r="AI60" s="142"/>
      <c r="AJ60" s="142"/>
      <c r="AK60" s="142"/>
      <c r="AL60" s="187">
        <f t="shared" si="0"/>
        <v>0</v>
      </c>
      <c r="AM60" s="188"/>
      <c r="AN60" s="142"/>
      <c r="AO60" s="142"/>
      <c r="AP60" s="142"/>
      <c r="AQ60" s="142"/>
      <c r="AR60" s="142"/>
      <c r="AS60" s="142"/>
      <c r="AT60" s="142"/>
      <c r="AU60" s="142"/>
      <c r="AV60" s="142"/>
      <c r="AW60" s="142"/>
      <c r="AX60" s="142"/>
      <c r="AY60" s="142"/>
      <c r="AZ60" s="187">
        <f t="shared" si="1"/>
        <v>0</v>
      </c>
      <c r="BA60" s="189">
        <f t="shared" si="2"/>
        <v>0</v>
      </c>
      <c r="BB60" s="190"/>
      <c r="BC60" s="191">
        <f t="shared" si="3"/>
        <v>0</v>
      </c>
      <c r="BD60" s="192" t="str">
        <f>IF('Budget Opex Detail'!C60="","",IF(COUNTIFS('Activity Master Opex'!$B$4:$B$64,'Budget Opex Detail'!$C60)&gt;0,"","New Activity"))</f>
        <v/>
      </c>
      <c r="BE60" s="193"/>
      <c r="BF60" s="194"/>
      <c r="BG60" s="195"/>
      <c r="BH60" s="196"/>
      <c r="BI60" s="197"/>
      <c r="BJ60" s="197"/>
      <c r="BK60" s="198"/>
      <c r="BL60" s="147">
        <f t="shared" si="6"/>
        <v>0</v>
      </c>
      <c r="BM60" s="196"/>
      <c r="BN60" s="196"/>
      <c r="BO60" s="199">
        <f t="shared" si="4"/>
        <v>0</v>
      </c>
      <c r="BP60" s="200"/>
      <c r="BR60" s="202" t="str">
        <f>IF($H60="","",VLOOKUP($H60,'Master Data'!$B:$D,3,FALSE))</f>
        <v/>
      </c>
      <c r="BS60" s="202" t="str">
        <f t="shared" si="10"/>
        <v/>
      </c>
      <c r="BT60" s="202" t="str">
        <f>IF($H60="","",VLOOKUP(VALUE($H60),'Master Data'!B:I,8,FALSE))</f>
        <v/>
      </c>
    </row>
    <row r="61" spans="1:72" s="201" customFormat="1" x14ac:dyDescent="0.35">
      <c r="A61" s="178" t="str">
        <f>IF(D61="","",Cover!$D$8)</f>
        <v/>
      </c>
      <c r="B61" s="178" t="str">
        <f>IF(D61="","",Cover!$D$9)</f>
        <v/>
      </c>
      <c r="C61" s="298" t="str">
        <f>IF(D61="","",_xlfn.XLOOKUP(D61,'Activity Master Opex'!C:C,'Activity Master Opex'!B:B,0,0,1))</f>
        <v/>
      </c>
      <c r="D61" s="180"/>
      <c r="E61" s="289" t="str">
        <f>IF(D61="","",IFERROR(VLOOKUP(D61,'Activity Master Opex'!$C:$M,6,FALSE),0))</f>
        <v/>
      </c>
      <c r="F61" s="181" t="str">
        <f>IF($C61="","",VLOOKUP($C61,'Activity Master Opex'!$B:$I,3,0))</f>
        <v/>
      </c>
      <c r="G61" s="179" t="str">
        <f>IF($C61="","",VLOOKUP($F61,#REF!,2,0))</f>
        <v/>
      </c>
      <c r="H61" s="182" t="str">
        <f>IF($C61="","",VLOOKUP($C61,'Activity Master Opex'!$B:$I,5,0))</f>
        <v/>
      </c>
      <c r="I61" s="178" t="str">
        <f>IFERROR(VLOOKUP(H61,'Activity Master Opex'!F:G,2,FALSE),"")</f>
        <v/>
      </c>
      <c r="J61" s="183">
        <v>0</v>
      </c>
      <c r="K61" s="183">
        <v>0</v>
      </c>
      <c r="L61" s="184"/>
      <c r="M61" s="184"/>
      <c r="N61" s="184"/>
      <c r="O61" s="184"/>
      <c r="P61" s="184"/>
      <c r="Q61" s="184"/>
      <c r="R61" s="184"/>
      <c r="S61" s="184"/>
      <c r="T61" s="184"/>
      <c r="U61" s="184"/>
      <c r="V61" s="184"/>
      <c r="W61" s="184"/>
      <c r="X61" s="185">
        <f t="shared" si="9"/>
        <v>0</v>
      </c>
      <c r="Y61" s="186"/>
      <c r="Z61" s="142"/>
      <c r="AA61" s="142"/>
      <c r="AB61" s="142"/>
      <c r="AC61" s="142"/>
      <c r="AD61" s="142"/>
      <c r="AE61" s="142"/>
      <c r="AF61" s="142"/>
      <c r="AG61" s="142"/>
      <c r="AH61" s="142"/>
      <c r="AI61" s="142"/>
      <c r="AJ61" s="142"/>
      <c r="AK61" s="142"/>
      <c r="AL61" s="187">
        <f t="shared" si="0"/>
        <v>0</v>
      </c>
      <c r="AM61" s="188"/>
      <c r="AN61" s="142"/>
      <c r="AO61" s="142"/>
      <c r="AP61" s="142"/>
      <c r="AQ61" s="142"/>
      <c r="AR61" s="142"/>
      <c r="AS61" s="142"/>
      <c r="AT61" s="142"/>
      <c r="AU61" s="142"/>
      <c r="AV61" s="142"/>
      <c r="AW61" s="142"/>
      <c r="AX61" s="142"/>
      <c r="AY61" s="142"/>
      <c r="AZ61" s="187">
        <f t="shared" si="1"/>
        <v>0</v>
      </c>
      <c r="BA61" s="189">
        <f t="shared" si="2"/>
        <v>0</v>
      </c>
      <c r="BB61" s="190"/>
      <c r="BC61" s="191">
        <f t="shared" si="3"/>
        <v>0</v>
      </c>
      <c r="BD61" s="192" t="str">
        <f>IF('Budget Opex Detail'!C61="","",IF(COUNTIFS('Activity Master Opex'!$B$4:$B$64,'Budget Opex Detail'!$C61)&gt;0,"","New Activity"))</f>
        <v/>
      </c>
      <c r="BE61" s="193"/>
      <c r="BF61" s="194"/>
      <c r="BG61" s="195"/>
      <c r="BH61" s="196"/>
      <c r="BI61" s="197"/>
      <c r="BJ61" s="197"/>
      <c r="BK61" s="198"/>
      <c r="BL61" s="147">
        <f t="shared" si="6"/>
        <v>0</v>
      </c>
      <c r="BM61" s="196"/>
      <c r="BN61" s="196"/>
      <c r="BO61" s="199">
        <f t="shared" si="4"/>
        <v>0</v>
      </c>
      <c r="BP61" s="200"/>
      <c r="BR61" s="202" t="str">
        <f>IF($H61="","",VLOOKUP($H61,'Master Data'!$B:$D,3,FALSE))</f>
        <v/>
      </c>
      <c r="BS61" s="202" t="str">
        <f t="shared" si="10"/>
        <v/>
      </c>
      <c r="BT61" s="202" t="str">
        <f>IF($H61="","",VLOOKUP(VALUE($H61),'Master Data'!B:I,8,FALSE))</f>
        <v/>
      </c>
    </row>
    <row r="62" spans="1:72" s="201" customFormat="1" x14ac:dyDescent="0.35">
      <c r="A62" s="178" t="str">
        <f>IF(D62="","",Cover!$D$8)</f>
        <v/>
      </c>
      <c r="B62" s="178" t="str">
        <f>IF(D62="","",Cover!$D$9)</f>
        <v/>
      </c>
      <c r="C62" s="298" t="str">
        <f>IF(D62="","",_xlfn.XLOOKUP(D62,'Activity Master Opex'!C:C,'Activity Master Opex'!B:B,0,0,1))</f>
        <v/>
      </c>
      <c r="D62" s="180"/>
      <c r="E62" s="289" t="str">
        <f>IF(D62="","",IFERROR(VLOOKUP(D62,'Activity Master Opex'!$C:$M,6,FALSE),0))</f>
        <v/>
      </c>
      <c r="F62" s="181" t="str">
        <f>IF($C62="","",VLOOKUP($C62,'Activity Master Opex'!$B:$I,3,0))</f>
        <v/>
      </c>
      <c r="G62" s="179" t="str">
        <f>IF($C62="","",VLOOKUP($F62,#REF!,2,0))</f>
        <v/>
      </c>
      <c r="H62" s="182" t="str">
        <f>IF($C62="","",VLOOKUP($C62,'Activity Master Opex'!$B:$I,5,0))</f>
        <v/>
      </c>
      <c r="I62" s="178" t="str">
        <f>IFERROR(VLOOKUP(H62,'Activity Master Opex'!F:G,2,FALSE),"")</f>
        <v/>
      </c>
      <c r="J62" s="183">
        <v>0</v>
      </c>
      <c r="K62" s="183">
        <v>0</v>
      </c>
      <c r="L62" s="184"/>
      <c r="M62" s="184"/>
      <c r="N62" s="184"/>
      <c r="O62" s="184"/>
      <c r="P62" s="184"/>
      <c r="Q62" s="184"/>
      <c r="R62" s="184"/>
      <c r="S62" s="184"/>
      <c r="T62" s="184"/>
      <c r="U62" s="184"/>
      <c r="V62" s="184"/>
      <c r="W62" s="184"/>
      <c r="X62" s="185">
        <f t="shared" si="9"/>
        <v>0</v>
      </c>
      <c r="Y62" s="186"/>
      <c r="Z62" s="142"/>
      <c r="AA62" s="142"/>
      <c r="AB62" s="142"/>
      <c r="AC62" s="142"/>
      <c r="AD62" s="142"/>
      <c r="AE62" s="142"/>
      <c r="AF62" s="142"/>
      <c r="AG62" s="142"/>
      <c r="AH62" s="142"/>
      <c r="AI62" s="142"/>
      <c r="AJ62" s="142"/>
      <c r="AK62" s="142"/>
      <c r="AL62" s="187">
        <f t="shared" si="0"/>
        <v>0</v>
      </c>
      <c r="AM62" s="188"/>
      <c r="AN62" s="142"/>
      <c r="AO62" s="142"/>
      <c r="AP62" s="142"/>
      <c r="AQ62" s="142"/>
      <c r="AR62" s="142"/>
      <c r="AS62" s="142"/>
      <c r="AT62" s="142"/>
      <c r="AU62" s="142"/>
      <c r="AV62" s="142"/>
      <c r="AW62" s="142"/>
      <c r="AX62" s="142"/>
      <c r="AY62" s="142"/>
      <c r="AZ62" s="187">
        <f t="shared" si="1"/>
        <v>0</v>
      </c>
      <c r="BA62" s="189">
        <f t="shared" si="2"/>
        <v>0</v>
      </c>
      <c r="BB62" s="190"/>
      <c r="BC62" s="191">
        <f t="shared" si="3"/>
        <v>0</v>
      </c>
      <c r="BD62" s="192" t="str">
        <f>IF('Budget Opex Detail'!C62="","",IF(COUNTIFS('Activity Master Opex'!$B$4:$B$64,'Budget Opex Detail'!$C62)&gt;0,"","New Activity"))</f>
        <v/>
      </c>
      <c r="BE62" s="193"/>
      <c r="BF62" s="194"/>
      <c r="BG62" s="195"/>
      <c r="BH62" s="196"/>
      <c r="BI62" s="197"/>
      <c r="BJ62" s="197"/>
      <c r="BK62" s="198"/>
      <c r="BL62" s="147">
        <f t="shared" si="6"/>
        <v>0</v>
      </c>
      <c r="BM62" s="196"/>
      <c r="BN62" s="196"/>
      <c r="BO62" s="199">
        <f t="shared" si="4"/>
        <v>0</v>
      </c>
      <c r="BP62" s="200"/>
      <c r="BR62" s="202" t="str">
        <f>IF($H62="","",VLOOKUP($H62,'Master Data'!$B:$D,3,FALSE))</f>
        <v/>
      </c>
      <c r="BS62" s="202" t="str">
        <f t="shared" si="10"/>
        <v/>
      </c>
      <c r="BT62" s="202" t="str">
        <f>IF($H62="","",VLOOKUP(VALUE($H62),'Master Data'!B:I,8,FALSE))</f>
        <v/>
      </c>
    </row>
    <row r="63" spans="1:72" s="201" customFormat="1" x14ac:dyDescent="0.35">
      <c r="A63" s="178" t="str">
        <f>IF(D63="","",Cover!$D$8)</f>
        <v/>
      </c>
      <c r="B63" s="178" t="str">
        <f>IF(D63="","",Cover!$D$9)</f>
        <v/>
      </c>
      <c r="C63" s="298" t="str">
        <f>IF(D63="","",_xlfn.XLOOKUP(D63,'Activity Master Opex'!C:C,'Activity Master Opex'!B:B,0,0,1))</f>
        <v/>
      </c>
      <c r="D63" s="180"/>
      <c r="E63" s="289" t="str">
        <f>IF(D63="","",IFERROR(VLOOKUP(D63,'Activity Master Opex'!$C:$M,6,FALSE),0))</f>
        <v/>
      </c>
      <c r="F63" s="181" t="str">
        <f>IF($C63="","",VLOOKUP($C63,'Activity Master Opex'!$B:$I,3,0))</f>
        <v/>
      </c>
      <c r="G63" s="179" t="str">
        <f>IF($C63="","",VLOOKUP($F63,#REF!,2,0))</f>
        <v/>
      </c>
      <c r="H63" s="182" t="str">
        <f>IF($C63="","",VLOOKUP($C63,'Activity Master Opex'!$B:$I,5,0))</f>
        <v/>
      </c>
      <c r="I63" s="178" t="str">
        <f>IFERROR(VLOOKUP(H63,'Activity Master Opex'!F:G,2,FALSE),"")</f>
        <v/>
      </c>
      <c r="J63" s="183">
        <v>0</v>
      </c>
      <c r="K63" s="183">
        <v>0</v>
      </c>
      <c r="L63" s="184"/>
      <c r="M63" s="184"/>
      <c r="N63" s="184"/>
      <c r="O63" s="184"/>
      <c r="P63" s="184"/>
      <c r="Q63" s="184"/>
      <c r="R63" s="184"/>
      <c r="S63" s="184"/>
      <c r="T63" s="184"/>
      <c r="U63" s="184"/>
      <c r="V63" s="184"/>
      <c r="W63" s="184"/>
      <c r="X63" s="185">
        <f t="shared" si="9"/>
        <v>0</v>
      </c>
      <c r="Y63" s="186"/>
      <c r="Z63" s="142"/>
      <c r="AA63" s="142"/>
      <c r="AB63" s="142"/>
      <c r="AC63" s="142"/>
      <c r="AD63" s="142"/>
      <c r="AE63" s="142"/>
      <c r="AF63" s="142"/>
      <c r="AG63" s="142"/>
      <c r="AH63" s="142"/>
      <c r="AI63" s="142"/>
      <c r="AJ63" s="142"/>
      <c r="AK63" s="142"/>
      <c r="AL63" s="187">
        <f t="shared" si="0"/>
        <v>0</v>
      </c>
      <c r="AM63" s="188"/>
      <c r="AN63" s="142"/>
      <c r="AO63" s="142"/>
      <c r="AP63" s="142"/>
      <c r="AQ63" s="142"/>
      <c r="AR63" s="142"/>
      <c r="AS63" s="142"/>
      <c r="AT63" s="142"/>
      <c r="AU63" s="142"/>
      <c r="AV63" s="142"/>
      <c r="AW63" s="142"/>
      <c r="AX63" s="142"/>
      <c r="AY63" s="142"/>
      <c r="AZ63" s="187">
        <f t="shared" si="1"/>
        <v>0</v>
      </c>
      <c r="BA63" s="189">
        <f t="shared" si="2"/>
        <v>0</v>
      </c>
      <c r="BB63" s="190"/>
      <c r="BC63" s="191">
        <f t="shared" si="3"/>
        <v>0</v>
      </c>
      <c r="BD63" s="192" t="str">
        <f>IF('Budget Opex Detail'!C63="","",IF(COUNTIFS('Activity Master Opex'!$B$4:$B$64,'Budget Opex Detail'!$C63)&gt;0,"","New Activity"))</f>
        <v/>
      </c>
      <c r="BE63" s="193"/>
      <c r="BF63" s="194"/>
      <c r="BG63" s="195"/>
      <c r="BH63" s="196"/>
      <c r="BI63" s="197"/>
      <c r="BJ63" s="197"/>
      <c r="BK63" s="198"/>
      <c r="BL63" s="147">
        <f t="shared" si="6"/>
        <v>0</v>
      </c>
      <c r="BM63" s="196"/>
      <c r="BN63" s="196"/>
      <c r="BO63" s="199">
        <f t="shared" si="4"/>
        <v>0</v>
      </c>
      <c r="BP63" s="200"/>
      <c r="BR63" s="202" t="str">
        <f>IF($H63="","",VLOOKUP($H63,'Master Data'!$B:$D,3,FALSE))</f>
        <v/>
      </c>
      <c r="BS63" s="202" t="str">
        <f t="shared" si="10"/>
        <v/>
      </c>
      <c r="BT63" s="202" t="str">
        <f>IF($H63="","",VLOOKUP(VALUE($H63),'Master Data'!B:I,8,FALSE))</f>
        <v/>
      </c>
    </row>
    <row r="64" spans="1:72" s="201" customFormat="1" x14ac:dyDescent="0.35">
      <c r="A64" s="178" t="str">
        <f>IF(D64="","",Cover!$D$8)</f>
        <v/>
      </c>
      <c r="B64" s="178" t="str">
        <f>IF(D64="","",Cover!$D$9)</f>
        <v/>
      </c>
      <c r="C64" s="298" t="str">
        <f>IF(D64="","",_xlfn.XLOOKUP(D64,'Activity Master Opex'!C:C,'Activity Master Opex'!B:B,0,0,1))</f>
        <v/>
      </c>
      <c r="D64" s="180"/>
      <c r="E64" s="289" t="str">
        <f>IF(D64="","",IFERROR(VLOOKUP(D64,'Activity Master Opex'!$C:$M,6,FALSE),0))</f>
        <v/>
      </c>
      <c r="F64" s="181" t="str">
        <f>IF($C64="","",VLOOKUP($C64,'Activity Master Opex'!$B:$I,3,0))</f>
        <v/>
      </c>
      <c r="G64" s="179" t="str">
        <f>IF($C64="","",VLOOKUP($F64,#REF!,2,0))</f>
        <v/>
      </c>
      <c r="H64" s="182" t="str">
        <f>IF($C64="","",VLOOKUP($C64,'Activity Master Opex'!$B:$I,5,0))</f>
        <v/>
      </c>
      <c r="I64" s="178" t="str">
        <f>IFERROR(VLOOKUP(H64,'Activity Master Opex'!F:G,2,FALSE),"")</f>
        <v/>
      </c>
      <c r="J64" s="183">
        <v>0</v>
      </c>
      <c r="K64" s="183">
        <v>0</v>
      </c>
      <c r="L64" s="184"/>
      <c r="M64" s="184"/>
      <c r="N64" s="184"/>
      <c r="O64" s="184"/>
      <c r="P64" s="184"/>
      <c r="Q64" s="184"/>
      <c r="R64" s="184"/>
      <c r="S64" s="184"/>
      <c r="T64" s="184"/>
      <c r="U64" s="184"/>
      <c r="V64" s="184"/>
      <c r="W64" s="184"/>
      <c r="X64" s="185">
        <f t="shared" si="9"/>
        <v>0</v>
      </c>
      <c r="Y64" s="186"/>
      <c r="Z64" s="142"/>
      <c r="AA64" s="142"/>
      <c r="AB64" s="142"/>
      <c r="AC64" s="142"/>
      <c r="AD64" s="142"/>
      <c r="AE64" s="142"/>
      <c r="AF64" s="142"/>
      <c r="AG64" s="142"/>
      <c r="AH64" s="142"/>
      <c r="AI64" s="142"/>
      <c r="AJ64" s="142"/>
      <c r="AK64" s="142"/>
      <c r="AL64" s="187">
        <f t="shared" si="0"/>
        <v>0</v>
      </c>
      <c r="AM64" s="188"/>
      <c r="AN64" s="142"/>
      <c r="AO64" s="142"/>
      <c r="AP64" s="142"/>
      <c r="AQ64" s="142"/>
      <c r="AR64" s="142"/>
      <c r="AS64" s="142"/>
      <c r="AT64" s="142"/>
      <c r="AU64" s="142"/>
      <c r="AV64" s="142"/>
      <c r="AW64" s="142"/>
      <c r="AX64" s="142"/>
      <c r="AY64" s="142"/>
      <c r="AZ64" s="187">
        <f t="shared" si="1"/>
        <v>0</v>
      </c>
      <c r="BA64" s="189">
        <f t="shared" si="2"/>
        <v>0</v>
      </c>
      <c r="BB64" s="190"/>
      <c r="BC64" s="191">
        <f t="shared" si="3"/>
        <v>0</v>
      </c>
      <c r="BD64" s="192" t="str">
        <f>IF('Budget Opex Detail'!C64="","",IF(COUNTIFS('Activity Master Opex'!$B$4:$B$64,'Budget Opex Detail'!$C64)&gt;0,"","New Activity"))</f>
        <v/>
      </c>
      <c r="BE64" s="193"/>
      <c r="BF64" s="194"/>
      <c r="BG64" s="195"/>
      <c r="BH64" s="196"/>
      <c r="BI64" s="197"/>
      <c r="BJ64" s="197"/>
      <c r="BK64" s="198"/>
      <c r="BL64" s="147">
        <f t="shared" si="6"/>
        <v>0</v>
      </c>
      <c r="BM64" s="196"/>
      <c r="BN64" s="196"/>
      <c r="BO64" s="199">
        <f t="shared" si="4"/>
        <v>0</v>
      </c>
      <c r="BP64" s="200"/>
      <c r="BR64" s="202" t="str">
        <f>IF($H64="","",VLOOKUP($H64,'Master Data'!$B:$D,3,FALSE))</f>
        <v/>
      </c>
      <c r="BS64" s="202" t="str">
        <f t="shared" si="10"/>
        <v/>
      </c>
      <c r="BT64" s="202" t="str">
        <f>IF($H64="","",VLOOKUP(VALUE($H64),'Master Data'!B:I,8,FALSE))</f>
        <v/>
      </c>
    </row>
  </sheetData>
  <sheetProtection formatColumns="0" formatRows="0" sort="0" autoFilter="0" pivotTables="0"/>
  <autoFilter ref="A3:AR64" xr:uid="{00000000-0009-0000-0000-000003000000}"/>
  <dataValidations count="4">
    <dataValidation type="custom" showInputMessage="1" showErrorMessage="1" error="Pastikan Master Activity Number sudah terisi dan format isian adalah angka_x000a_" sqref="L4:W64" xr:uid="{00000000-0002-0000-0300-000003000000}">
      <formula1>AND(ISNUMBER(L4),$C4&lt;&gt;"")</formula1>
    </dataValidation>
    <dataValidation type="list" allowBlank="1" showInputMessage="1" showErrorMessage="1" sqref="BH4:BH64" xr:uid="{00000000-0002-0000-0300-000000000000}">
      <formula1>"Essentials, Moderate, Not Essentials"</formula1>
    </dataValidation>
    <dataValidation type="list" allowBlank="1" showInputMessage="1" showErrorMessage="1" sqref="BE4:BE64" xr:uid="{00000000-0002-0000-0300-000001000000}">
      <formula1>"Monthly Recurring, Periodically (Quarterly/Yearly) Recurring, One Off, Conditional"</formula1>
    </dataValidation>
    <dataValidation type="custom" showInputMessage="1" showErrorMessage="1" error="Pastikan Ledger Number dan Cost Center sudah terisi" sqref="AN4:AY64 Z4:AK64" xr:uid="{A60A8FF0-3D1D-451B-A786-FFD3CE16B9A4}">
      <formula1>AND($A4&lt;&gt;"",$J4&lt;&gt;"")</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iconSet" priority="11" id="{05A31CF0-D1F5-46D3-9339-3F8EE3C0FC56}">
            <x14:iconSet iconSet="3Triangles">
              <x14:cfvo type="percent">
                <xm:f>0</xm:f>
              </x14:cfvo>
              <x14:cfvo type="num">
                <xm:f>0</xm:f>
              </x14:cfvo>
              <x14:cfvo type="num" gte="0">
                <xm:f>0</xm:f>
              </x14:cfvo>
            </x14:iconSet>
          </x14:cfRule>
          <xm:sqref>BA4:BA64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CD11C85-3AF4-4073-AE08-150143AB5965}">
          <x14:formula1>
            <xm:f>'Activity Master Opex'!$C:$C</xm:f>
          </x14:formula1>
          <xm:sqref>D4:D13 D33:D64</xm:sqref>
        </x14:dataValidation>
        <x14:dataValidation type="list" allowBlank="1" showInputMessage="1" showErrorMessage="1" xr:uid="{4659D101-795F-4BC8-827C-9EB81B956647}">
          <x14:formula1>
            <xm:f>'Master Data'!$C$365:$C$367</xm:f>
          </x14:formula1>
          <xm:sqref>BG4:BG64</xm:sqref>
        </x14:dataValidation>
        <x14:dataValidation type="list" allowBlank="1" showInputMessage="1" showErrorMessage="1" xr:uid="{B672C564-CBD1-4F8C-BC62-1E3FE950EC1C}">
          <x14:formula1>
            <xm:f>'Master Data'!$B$372:$B$373</xm:f>
          </x14:formula1>
          <xm:sqref>BJ4:BJ64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M77"/>
  <sheetViews>
    <sheetView showGridLines="0" zoomScale="80" zoomScaleNormal="80" workbookViewId="0">
      <selection activeCell="B4" sqref="B4"/>
    </sheetView>
  </sheetViews>
  <sheetFormatPr defaultColWidth="9.1796875" defaultRowHeight="14.5" x14ac:dyDescent="0.35"/>
  <cols>
    <col min="1" max="1" width="4.7265625" style="84" customWidth="1"/>
    <col min="2" max="2" width="30.1796875" style="84" bestFit="1" customWidth="1"/>
    <col min="3" max="3" width="38.26953125" style="84" bestFit="1" customWidth="1"/>
    <col min="4" max="4" width="15.1796875" style="84" customWidth="1"/>
    <col min="5" max="5" width="31.81640625" style="84" bestFit="1" customWidth="1"/>
    <col min="6" max="6" width="14.7265625" style="84" customWidth="1"/>
    <col min="7" max="7" width="56.26953125" style="84" customWidth="1"/>
    <col min="8" max="8" width="79.7265625" style="85" customWidth="1"/>
    <col min="9" max="9" width="15.7265625" style="204" customWidth="1"/>
    <col min="10" max="13" width="8.7265625" style="204" customWidth="1"/>
    <col min="14" max="16384" width="9.1796875" style="84"/>
  </cols>
  <sheetData>
    <row r="1" spans="1:13" x14ac:dyDescent="0.35">
      <c r="A1" s="206"/>
      <c r="F1" s="207" t="s">
        <v>317</v>
      </c>
    </row>
    <row r="2" spans="1:13" x14ac:dyDescent="0.35">
      <c r="B2" s="331" t="s">
        <v>264</v>
      </c>
      <c r="C2" s="332"/>
      <c r="D2" s="332"/>
      <c r="E2" s="332"/>
      <c r="F2" s="332"/>
      <c r="G2" s="332"/>
      <c r="H2" s="332"/>
    </row>
    <row r="3" spans="1:13" s="208" customFormat="1" x14ac:dyDescent="0.35">
      <c r="B3" s="209" t="s">
        <v>322</v>
      </c>
      <c r="C3" s="210" t="s">
        <v>262</v>
      </c>
      <c r="D3" s="210" t="s">
        <v>32</v>
      </c>
      <c r="E3" s="210" t="s">
        <v>260</v>
      </c>
      <c r="F3" s="210" t="s">
        <v>261</v>
      </c>
      <c r="G3" s="210" t="s">
        <v>261</v>
      </c>
      <c r="H3" s="211" t="s">
        <v>224</v>
      </c>
      <c r="I3" s="212" t="s">
        <v>1174</v>
      </c>
      <c r="J3" s="213"/>
      <c r="K3" s="213"/>
      <c r="L3" s="213"/>
      <c r="M3" s="213"/>
    </row>
    <row r="4" spans="1:13" s="208" customFormat="1" ht="43.5" x14ac:dyDescent="0.35">
      <c r="B4" s="214" t="s">
        <v>443</v>
      </c>
      <c r="C4" s="215" t="s">
        <v>444</v>
      </c>
      <c r="D4" s="215" t="s">
        <v>152</v>
      </c>
      <c r="E4" s="215" t="str">
        <f>VLOOKUP(D4,'Master Data'!D:E,2,0)</f>
        <v>CORPORATE LEGAL &amp; COMPLIANCE</v>
      </c>
      <c r="F4" s="216">
        <v>61900010</v>
      </c>
      <c r="G4" s="216" t="str">
        <f>VLOOKUP(F4,'Master Data'!$B$232:$C$331,2,0)</f>
        <v>PF - Legal Fee</v>
      </c>
      <c r="H4" s="219" t="s">
        <v>1209</v>
      </c>
      <c r="I4" s="218">
        <f>IFERROR(VLOOKUP(F4,'Master Data'!B:B,1,FALSE),0)</f>
        <v>61900010</v>
      </c>
      <c r="J4" s="213"/>
      <c r="K4" s="213"/>
      <c r="L4" s="213"/>
      <c r="M4" s="213"/>
    </row>
    <row r="5" spans="1:13" s="208" customFormat="1" ht="58" x14ac:dyDescent="0.35">
      <c r="B5" s="214" t="s">
        <v>445</v>
      </c>
      <c r="C5" s="215" t="s">
        <v>446</v>
      </c>
      <c r="D5" s="215" t="s">
        <v>152</v>
      </c>
      <c r="E5" s="215" t="str">
        <f>VLOOKUP(D5,'Master Data'!D:E,2,0)</f>
        <v>CORPORATE LEGAL &amp; COMPLIANCE</v>
      </c>
      <c r="F5" s="216">
        <v>61900010</v>
      </c>
      <c r="G5" s="216" t="str">
        <f>VLOOKUP(F5,'Master Data'!$B$232:$C$331,2,0)</f>
        <v>PF - Legal Fee</v>
      </c>
      <c r="H5" s="219" t="s">
        <v>1210</v>
      </c>
      <c r="I5" s="218">
        <f>IFERROR(VLOOKUP(F5,'Master Data'!B:B,1,FALSE),0)</f>
        <v>61900010</v>
      </c>
      <c r="J5" s="213"/>
      <c r="K5" s="213"/>
      <c r="L5" s="213"/>
      <c r="M5" s="213"/>
    </row>
    <row r="6" spans="1:13" s="208" customFormat="1" x14ac:dyDescent="0.35">
      <c r="B6" s="214" t="s">
        <v>447</v>
      </c>
      <c r="C6" s="215" t="s">
        <v>448</v>
      </c>
      <c r="D6" s="215" t="s">
        <v>152</v>
      </c>
      <c r="E6" s="215" t="str">
        <f>VLOOKUP(D6,'Master Data'!D:E,2,0)</f>
        <v>CORPORATE LEGAL &amp; COMPLIANCE</v>
      </c>
      <c r="F6" s="216">
        <v>61900090</v>
      </c>
      <c r="G6" s="216" t="str">
        <f>VLOOKUP(F6,'Master Data'!$B$232:$C$331,2,0)</f>
        <v>PF - Other Professional Fees</v>
      </c>
      <c r="H6" s="217"/>
      <c r="I6" s="218">
        <f>IFERROR(VLOOKUP(F6,'Master Data'!B:B,1,FALSE),0)</f>
        <v>61900090</v>
      </c>
      <c r="J6" s="213"/>
      <c r="K6" s="213"/>
      <c r="L6" s="213"/>
      <c r="M6" s="213"/>
    </row>
    <row r="7" spans="1:13" s="208" customFormat="1" x14ac:dyDescent="0.35">
      <c r="B7" s="214" t="s">
        <v>580</v>
      </c>
      <c r="C7" s="215" t="s">
        <v>471</v>
      </c>
      <c r="D7" s="215" t="s">
        <v>152</v>
      </c>
      <c r="E7" s="215" t="str">
        <f>VLOOKUP(D7,'Master Data'!D:E,2,0)</f>
        <v>CORPORATE LEGAL &amp; COMPLIANCE</v>
      </c>
      <c r="F7" s="216">
        <v>62300010</v>
      </c>
      <c r="G7" s="216" t="str">
        <f>VLOOKUP(F7,'Master Data'!$B$232:$C$331,2,0)</f>
        <v>Meeting Expenses</v>
      </c>
      <c r="H7" s="217" t="s">
        <v>471</v>
      </c>
      <c r="I7" s="218">
        <f>IFERROR(VLOOKUP(F7,'Master Data'!B:B,1,FALSE),0)</f>
        <v>62300010</v>
      </c>
      <c r="J7" s="213"/>
      <c r="K7" s="213"/>
      <c r="L7" s="213"/>
      <c r="M7" s="213"/>
    </row>
    <row r="8" spans="1:13" s="208" customFormat="1" ht="29" x14ac:dyDescent="0.35">
      <c r="B8" s="214" t="s">
        <v>579</v>
      </c>
      <c r="C8" s="215" t="s">
        <v>563</v>
      </c>
      <c r="D8" s="215" t="s">
        <v>152</v>
      </c>
      <c r="E8" s="215" t="str">
        <f>VLOOKUP(D8,'Master Data'!D:E,2,0)</f>
        <v>CORPORATE LEGAL &amp; COMPLIANCE</v>
      </c>
      <c r="F8" s="216">
        <v>62900020</v>
      </c>
      <c r="G8" s="216" t="str">
        <f>VLOOKUP(F8,'Master Data'!$B$232:$C$331,2,0)</f>
        <v>Subscriptions and Periodicals</v>
      </c>
      <c r="H8" s="219" t="s">
        <v>1212</v>
      </c>
      <c r="I8" s="218">
        <f>IFERROR(VLOOKUP(F8,'Master Data'!B:B,1,FALSE),0)</f>
        <v>62900020</v>
      </c>
      <c r="J8" s="213"/>
      <c r="K8" s="213"/>
      <c r="L8" s="213"/>
      <c r="M8" s="213"/>
    </row>
    <row r="9" spans="1:13" s="208" customFormat="1" x14ac:dyDescent="0.35">
      <c r="B9" s="214" t="s">
        <v>581</v>
      </c>
      <c r="C9" s="215" t="s">
        <v>569</v>
      </c>
      <c r="D9" s="215" t="s">
        <v>152</v>
      </c>
      <c r="E9" s="215" t="str">
        <f>VLOOKUP(D9,'Master Data'!D:E,2,0)</f>
        <v>CORPORATE LEGAL &amp; COMPLIANCE</v>
      </c>
      <c r="F9" s="216">
        <v>62900020</v>
      </c>
      <c r="G9" s="216" t="str">
        <f>VLOOKUP(F9,'Master Data'!$B$232:$C$331,2,0)</f>
        <v>Subscriptions and Periodicals</v>
      </c>
      <c r="H9" s="217"/>
      <c r="I9" s="218">
        <f>IFERROR(VLOOKUP(F9,'Master Data'!B:B,1,FALSE),0)</f>
        <v>62900020</v>
      </c>
      <c r="J9" s="213"/>
      <c r="K9" s="213"/>
      <c r="L9" s="213"/>
      <c r="M9" s="213"/>
    </row>
    <row r="10" spans="1:13" s="208" customFormat="1" x14ac:dyDescent="0.35">
      <c r="B10" s="214" t="s">
        <v>449</v>
      </c>
      <c r="C10" s="215" t="s">
        <v>450</v>
      </c>
      <c r="D10" s="215" t="s">
        <v>152</v>
      </c>
      <c r="E10" s="215" t="str">
        <f>VLOOKUP(D10,'Master Data'!D:E,2,0)</f>
        <v>CORPORATE LEGAL &amp; COMPLIANCE</v>
      </c>
      <c r="F10" s="216">
        <v>61400010</v>
      </c>
      <c r="G10" s="216" t="str">
        <f>VLOOKUP(F10,'Master Data'!$B$232:$C$331,2,0)</f>
        <v>AE - Advertising and Promotion Expenses</v>
      </c>
      <c r="H10" s="217"/>
      <c r="I10" s="218">
        <f>IFERROR(VLOOKUP(F10,'Master Data'!B:B,1,FALSE),0)</f>
        <v>61400010</v>
      </c>
      <c r="J10" s="213"/>
      <c r="K10" s="213"/>
      <c r="L10" s="213"/>
      <c r="M10" s="213"/>
    </row>
    <row r="11" spans="1:13" s="208" customFormat="1" x14ac:dyDescent="0.35">
      <c r="B11" s="214" t="s">
        <v>582</v>
      </c>
      <c r="C11" s="215" t="s">
        <v>570</v>
      </c>
      <c r="D11" s="215" t="s">
        <v>152</v>
      </c>
      <c r="E11" s="215" t="str">
        <f>VLOOKUP(D11,'Master Data'!D:E,2,0)</f>
        <v>CORPORATE LEGAL &amp; COMPLIANCE</v>
      </c>
      <c r="F11" s="216">
        <v>62900020</v>
      </c>
      <c r="G11" s="216" t="str">
        <f>VLOOKUP(F11,'Master Data'!$B$232:$C$331,2,0)</f>
        <v>Subscriptions and Periodicals</v>
      </c>
      <c r="H11" s="217" t="s">
        <v>1213</v>
      </c>
      <c r="I11" s="218">
        <f>IFERROR(VLOOKUP(F11,'Master Data'!B:B,1,FALSE),0)</f>
        <v>62900020</v>
      </c>
      <c r="J11" s="213"/>
      <c r="K11" s="213"/>
      <c r="L11" s="213"/>
      <c r="M11" s="213"/>
    </row>
    <row r="12" spans="1:13" s="208" customFormat="1" x14ac:dyDescent="0.35">
      <c r="B12" s="214" t="s">
        <v>583</v>
      </c>
      <c r="C12" s="215" t="s">
        <v>584</v>
      </c>
      <c r="D12" s="215" t="s">
        <v>152</v>
      </c>
      <c r="E12" s="215" t="str">
        <f>VLOOKUP(D12,'Master Data'!D:E,2,0)</f>
        <v>CORPORATE LEGAL &amp; COMPLIANCE</v>
      </c>
      <c r="F12" s="216">
        <v>61800020</v>
      </c>
      <c r="G12" s="216" t="str">
        <f>VLOOKUP(F12,'Master Data'!$B$232:$C$331,2,0)</f>
        <v>PT Exp. - Postage and Courier</v>
      </c>
      <c r="H12" s="217"/>
      <c r="I12" s="218">
        <f>IFERROR(VLOOKUP(F12,'Master Data'!B:B,1,FALSE),0)</f>
        <v>61800020</v>
      </c>
      <c r="J12" s="213"/>
      <c r="K12" s="213"/>
      <c r="L12" s="213"/>
      <c r="M12" s="213"/>
    </row>
    <row r="13" spans="1:13" s="208" customFormat="1" x14ac:dyDescent="0.35">
      <c r="B13" s="214" t="s">
        <v>457</v>
      </c>
      <c r="C13" s="215" t="s">
        <v>87</v>
      </c>
      <c r="D13" s="215" t="s">
        <v>152</v>
      </c>
      <c r="E13" s="215" t="str">
        <f>VLOOKUP(D13,'Master Data'!D:E,2,0)</f>
        <v>CORPORATE LEGAL &amp; COMPLIANCE</v>
      </c>
      <c r="F13" s="216">
        <v>61800030</v>
      </c>
      <c r="G13" s="216" t="str">
        <f>VLOOKUP(F13,'Master Data'!$B$232:$C$331,2,0)</f>
        <v>PT Exp. - Stamp Duty</v>
      </c>
      <c r="H13" s="217"/>
      <c r="I13" s="218">
        <f>IFERROR(VLOOKUP(F13,'Master Data'!B:B,1,FALSE),0)</f>
        <v>61800030</v>
      </c>
      <c r="J13" s="213"/>
      <c r="K13" s="213"/>
      <c r="L13" s="213"/>
      <c r="M13" s="213"/>
    </row>
    <row r="14" spans="1:13" s="208" customFormat="1" x14ac:dyDescent="0.35">
      <c r="B14" s="214" t="s">
        <v>453</v>
      </c>
      <c r="C14" s="215" t="s">
        <v>454</v>
      </c>
      <c r="D14" s="215" t="s">
        <v>152</v>
      </c>
      <c r="E14" s="215" t="str">
        <f>VLOOKUP(D14,'Master Data'!D:E,2,0)</f>
        <v>CORPORATE LEGAL &amp; COMPLIANCE</v>
      </c>
      <c r="F14" s="216">
        <v>62200020</v>
      </c>
      <c r="G14" s="216" t="str">
        <f>VLOOKUP(F14,'Master Data'!$B$232:$C$331,2,0)</f>
        <v>Printing and Supplies Expenses</v>
      </c>
      <c r="H14" s="220"/>
      <c r="I14" s="218">
        <f>IFERROR(VLOOKUP(F14,'Master Data'!B:B,1,FALSE),0)</f>
        <v>62200020</v>
      </c>
      <c r="J14" s="213"/>
      <c r="K14" s="213"/>
      <c r="L14" s="213"/>
      <c r="M14" s="213"/>
    </row>
    <row r="15" spans="1:13" s="208" customFormat="1" x14ac:dyDescent="0.35">
      <c r="B15" s="214" t="s">
        <v>453</v>
      </c>
      <c r="C15" s="215" t="s">
        <v>454</v>
      </c>
      <c r="D15" s="215" t="s">
        <v>152</v>
      </c>
      <c r="E15" s="215" t="str">
        <f>VLOOKUP(D15,'Master Data'!D:E,2,0)</f>
        <v>CORPORATE LEGAL &amp; COMPLIANCE</v>
      </c>
      <c r="F15" s="216">
        <v>62200020</v>
      </c>
      <c r="G15" s="216" t="str">
        <f>VLOOKUP(F15,'Master Data'!$B$232:$C$331,2,0)</f>
        <v>Printing and Supplies Expenses</v>
      </c>
      <c r="H15" s="221"/>
      <c r="I15" s="218">
        <f>IFERROR(VLOOKUP(F15,'Master Data'!B:B,1,FALSE),0)</f>
        <v>62200020</v>
      </c>
      <c r="J15" s="213"/>
      <c r="K15" s="213"/>
      <c r="L15" s="213"/>
      <c r="M15" s="213"/>
    </row>
    <row r="16" spans="1:13" s="208" customFormat="1" x14ac:dyDescent="0.35">
      <c r="B16" s="214" t="s">
        <v>455</v>
      </c>
      <c r="C16" s="215" t="s">
        <v>456</v>
      </c>
      <c r="D16" s="215" t="s">
        <v>152</v>
      </c>
      <c r="E16" s="215" t="str">
        <f>VLOOKUP(D16,'Master Data'!D:E,2,0)</f>
        <v>CORPORATE LEGAL &amp; COMPLIANCE</v>
      </c>
      <c r="F16" s="216">
        <v>61800020</v>
      </c>
      <c r="G16" s="216" t="str">
        <f>VLOOKUP(F16,'Master Data'!$B$232:$C$331,2,0)</f>
        <v>PT Exp. - Postage and Courier</v>
      </c>
      <c r="H16" s="221"/>
      <c r="I16" s="218">
        <f>IFERROR(VLOOKUP(F16,'Master Data'!B:B,1,FALSE),0)</f>
        <v>61800020</v>
      </c>
      <c r="J16" s="213"/>
      <c r="K16" s="213"/>
      <c r="L16" s="213"/>
      <c r="M16" s="213"/>
    </row>
    <row r="17" spans="2:13" s="208" customFormat="1" x14ac:dyDescent="0.35">
      <c r="B17" s="214" t="s">
        <v>451</v>
      </c>
      <c r="C17" s="215" t="s">
        <v>452</v>
      </c>
      <c r="D17" s="215" t="s">
        <v>152</v>
      </c>
      <c r="E17" s="215" t="str">
        <f>VLOOKUP(D17,'Master Data'!D:E,2,0)</f>
        <v>CORPORATE LEGAL &amp; COMPLIANCE</v>
      </c>
      <c r="F17" s="216">
        <v>61900010</v>
      </c>
      <c r="G17" s="216" t="str">
        <f>VLOOKUP(F17,'Master Data'!$B$232:$C$331,2,0)</f>
        <v>PF - Legal Fee</v>
      </c>
      <c r="H17" s="217"/>
      <c r="I17" s="218">
        <f>IFERROR(VLOOKUP(F17,'Master Data'!B:B,1,FALSE),0)</f>
        <v>61900010</v>
      </c>
      <c r="J17" s="213"/>
      <c r="K17" s="213"/>
      <c r="L17" s="213"/>
      <c r="M17" s="213"/>
    </row>
    <row r="18" spans="2:13" s="208" customFormat="1" x14ac:dyDescent="0.35">
      <c r="B18" s="214" t="s">
        <v>572</v>
      </c>
      <c r="C18" s="215" t="s">
        <v>566</v>
      </c>
      <c r="D18" s="215" t="s">
        <v>152</v>
      </c>
      <c r="E18" s="215" t="str">
        <f>VLOOKUP(D18,'Master Data'!D:E,2,0)</f>
        <v>CORPORATE LEGAL &amp; COMPLIANCE</v>
      </c>
      <c r="F18" s="216">
        <v>61600070</v>
      </c>
      <c r="G18" s="216" t="str">
        <f>VLOOKUP(F18,'Master Data'!$B$232:$C$331,2,0)</f>
        <v>Ins. Exp. - Insurance Others</v>
      </c>
      <c r="H18" s="217"/>
      <c r="I18" s="218">
        <f>IFERROR(VLOOKUP(F18,'Master Data'!B:B,1,FALSE),0)</f>
        <v>61600070</v>
      </c>
      <c r="J18" s="213"/>
      <c r="K18" s="213"/>
      <c r="L18" s="213"/>
      <c r="M18" s="213"/>
    </row>
    <row r="19" spans="2:13" s="208" customFormat="1" x14ac:dyDescent="0.35">
      <c r="B19" s="214" t="s">
        <v>573</v>
      </c>
      <c r="C19" s="215" t="s">
        <v>567</v>
      </c>
      <c r="D19" s="215" t="s">
        <v>152</v>
      </c>
      <c r="E19" s="215" t="str">
        <f>VLOOKUP(D19,'Master Data'!D:E,2,0)</f>
        <v>CORPORATE LEGAL &amp; COMPLIANCE</v>
      </c>
      <c r="F19" s="216">
        <v>61600070</v>
      </c>
      <c r="G19" s="216" t="str">
        <f>VLOOKUP(F19,'Master Data'!$B$232:$C$331,2,0)</f>
        <v>Ins. Exp. - Insurance Others</v>
      </c>
      <c r="H19" s="217"/>
      <c r="I19" s="218">
        <f>IFERROR(VLOOKUP(F19,'Master Data'!B:B,1,FALSE),0)</f>
        <v>61600070</v>
      </c>
      <c r="J19" s="213"/>
      <c r="K19" s="213"/>
      <c r="L19" s="213"/>
      <c r="M19" s="213"/>
    </row>
    <row r="20" spans="2:13" s="208" customFormat="1" x14ac:dyDescent="0.35">
      <c r="B20" s="214" t="s">
        <v>458</v>
      </c>
      <c r="C20" s="215" t="s">
        <v>459</v>
      </c>
      <c r="D20" s="215" t="s">
        <v>160</v>
      </c>
      <c r="E20" s="215" t="str">
        <f>VLOOKUP(D20,'Master Data'!D:E,2,0)</f>
        <v>CORPORATE SECRETARY</v>
      </c>
      <c r="F20" s="216">
        <v>62100050</v>
      </c>
      <c r="G20" s="216" t="str">
        <f>VLOOKUP(F20,'Master Data'!$B$232:$C$331,2,0)</f>
        <v>TL - Others Tax and License</v>
      </c>
      <c r="H20" s="217"/>
      <c r="I20" s="218">
        <f>IFERROR(VLOOKUP(F20,'Master Data'!B:B,1,FALSE),0)</f>
        <v>62100050</v>
      </c>
      <c r="J20" s="213"/>
      <c r="K20" s="213"/>
      <c r="L20" s="213"/>
      <c r="M20" s="213"/>
    </row>
    <row r="21" spans="2:13" s="208" customFormat="1" x14ac:dyDescent="0.35">
      <c r="B21" s="214" t="s">
        <v>585</v>
      </c>
      <c r="C21" s="215" t="s">
        <v>586</v>
      </c>
      <c r="D21" s="215" t="s">
        <v>160</v>
      </c>
      <c r="E21" s="215" t="str">
        <f>VLOOKUP(D21,'Master Data'!D:E,2,0)</f>
        <v>CORPORATE SECRETARY</v>
      </c>
      <c r="F21" s="216">
        <v>61700070</v>
      </c>
      <c r="G21" s="216" t="str">
        <f>VLOOKUP(F21,'Master Data'!$B$232:$C$331,2,0)</f>
        <v>RE - Rental Other</v>
      </c>
      <c r="H21" s="217"/>
      <c r="I21" s="218">
        <f>IFERROR(VLOOKUP(F21,'Master Data'!B:B,1,FALSE),0)</f>
        <v>61700070</v>
      </c>
      <c r="J21" s="213"/>
      <c r="K21" s="213"/>
      <c r="L21" s="213"/>
      <c r="M21" s="213"/>
    </row>
    <row r="22" spans="2:13" s="208" customFormat="1" x14ac:dyDescent="0.35">
      <c r="B22" s="214" t="s">
        <v>574</v>
      </c>
      <c r="C22" s="215" t="s">
        <v>564</v>
      </c>
      <c r="D22" s="215" t="s">
        <v>160</v>
      </c>
      <c r="E22" s="215" t="str">
        <f>VLOOKUP(D22,'Master Data'!D:E,2,0)</f>
        <v>CORPORATE SECRETARY</v>
      </c>
      <c r="F22" s="216">
        <v>62200020</v>
      </c>
      <c r="G22" s="216" t="str">
        <f>VLOOKUP(F22,'Master Data'!$B$232:$C$331,2,0)</f>
        <v>Printing and Supplies Expenses</v>
      </c>
      <c r="H22" s="217"/>
      <c r="I22" s="218">
        <f>IFERROR(VLOOKUP(F22,'Master Data'!B:B,1,FALSE),0)</f>
        <v>62200020</v>
      </c>
      <c r="J22" s="213"/>
      <c r="K22" s="213"/>
      <c r="L22" s="213"/>
      <c r="M22" s="213"/>
    </row>
    <row r="23" spans="2:13" s="208" customFormat="1" x14ac:dyDescent="0.35">
      <c r="B23" s="214" t="s">
        <v>575</v>
      </c>
      <c r="C23" s="215" t="s">
        <v>565</v>
      </c>
      <c r="D23" s="215" t="s">
        <v>160</v>
      </c>
      <c r="E23" s="215" t="str">
        <f>VLOOKUP(D23,'Master Data'!D:E,2,0)</f>
        <v>CORPORATE SECRETARY</v>
      </c>
      <c r="F23" s="216">
        <v>62300020</v>
      </c>
      <c r="G23" s="216" t="str">
        <f>VLOOKUP(F23,'Master Data'!$B$232:$C$331,2,0)</f>
        <v>Ceremony Expenses</v>
      </c>
      <c r="H23" s="217"/>
      <c r="I23" s="218">
        <f>IFERROR(VLOOKUP(F23,'Master Data'!B:B,1,FALSE),0)</f>
        <v>62300020</v>
      </c>
      <c r="J23" s="213"/>
      <c r="K23" s="213"/>
      <c r="L23" s="213"/>
      <c r="M23" s="213"/>
    </row>
    <row r="24" spans="2:13" s="208" customFormat="1" x14ac:dyDescent="0.35">
      <c r="B24" s="214" t="s">
        <v>460</v>
      </c>
      <c r="C24" s="215" t="s">
        <v>461</v>
      </c>
      <c r="D24" s="215" t="s">
        <v>166</v>
      </c>
      <c r="E24" s="215" t="str">
        <f>VLOOKUP(D24,'Master Data'!D:E,2,0)</f>
        <v>LAND MANAGEMENT</v>
      </c>
      <c r="F24" s="216">
        <v>62100010</v>
      </c>
      <c r="G24" s="216" t="str">
        <f>VLOOKUP(F24,'Master Data'!$B$232:$C$331,2,0)</f>
        <v>TL - Land and Property Tax</v>
      </c>
      <c r="H24" s="217"/>
      <c r="I24" s="218">
        <f>IFERROR(VLOOKUP(F24,'Master Data'!B:B,1,FALSE),0)</f>
        <v>62100010</v>
      </c>
      <c r="J24" s="213"/>
      <c r="K24" s="213"/>
      <c r="L24" s="213"/>
      <c r="M24" s="213"/>
    </row>
    <row r="25" spans="2:13" s="208" customFormat="1" ht="29" x14ac:dyDescent="0.35">
      <c r="B25" s="214" t="s">
        <v>478</v>
      </c>
      <c r="C25" s="215" t="s">
        <v>479</v>
      </c>
      <c r="D25" s="215" t="s">
        <v>153</v>
      </c>
      <c r="E25" s="215" t="str">
        <f>VLOOKUP(D25,'Master Data'!D:E,2,0)</f>
        <v>LICENSES &amp; PERMITS</v>
      </c>
      <c r="F25" s="216">
        <v>61900010</v>
      </c>
      <c r="G25" s="216" t="str">
        <f>VLOOKUP(F25,'Master Data'!$B$232:$C$331,2,0)</f>
        <v>PF - Legal Fee</v>
      </c>
      <c r="H25" s="219" t="s">
        <v>1216</v>
      </c>
      <c r="I25" s="218">
        <f>IFERROR(VLOOKUP(F25,'Master Data'!B:B,1,FALSE),0)</f>
        <v>61900010</v>
      </c>
      <c r="J25" s="213"/>
      <c r="K25" s="213"/>
      <c r="L25" s="213"/>
      <c r="M25" s="213"/>
    </row>
    <row r="26" spans="2:13" s="208" customFormat="1" x14ac:dyDescent="0.35">
      <c r="B26" s="214" t="s">
        <v>470</v>
      </c>
      <c r="C26" s="215" t="s">
        <v>471</v>
      </c>
      <c r="D26" s="215" t="s">
        <v>153</v>
      </c>
      <c r="E26" s="215" t="str">
        <f>VLOOKUP(D26,'Master Data'!D:E,2,0)</f>
        <v>LICENSES &amp; PERMITS</v>
      </c>
      <c r="F26" s="216">
        <v>62300010</v>
      </c>
      <c r="G26" s="216" t="str">
        <f>VLOOKUP(F26,'Master Data'!$B$232:$C$331,2,0)</f>
        <v>Meeting Expenses</v>
      </c>
      <c r="H26" s="217"/>
      <c r="I26" s="218">
        <f>IFERROR(VLOOKUP(F26,'Master Data'!B:B,1,FALSE),0)</f>
        <v>62300010</v>
      </c>
      <c r="J26" s="213"/>
      <c r="K26" s="213"/>
      <c r="L26" s="213"/>
      <c r="M26" s="213"/>
    </row>
    <row r="27" spans="2:13" s="208" customFormat="1" ht="29" x14ac:dyDescent="0.35">
      <c r="B27" s="214" t="s">
        <v>466</v>
      </c>
      <c r="C27" s="215" t="s">
        <v>467</v>
      </c>
      <c r="D27" s="215" t="s">
        <v>153</v>
      </c>
      <c r="E27" s="215" t="str">
        <f>VLOOKUP(D27,'Master Data'!D:E,2,0)</f>
        <v>LICENSES &amp; PERMITS</v>
      </c>
      <c r="F27" s="216">
        <v>62000040</v>
      </c>
      <c r="G27" s="216" t="str">
        <f>VLOOKUP(F27,'Master Data'!$B$232:$C$331,2,0)</f>
        <v>Ent. Exp - Others Entertainment</v>
      </c>
      <c r="H27" s="219" t="s">
        <v>1218</v>
      </c>
      <c r="I27" s="218">
        <f>IFERROR(VLOOKUP(F27,'Master Data'!B:B,1,FALSE),0)</f>
        <v>62000040</v>
      </c>
      <c r="J27" s="213"/>
      <c r="K27" s="213"/>
      <c r="L27" s="213"/>
      <c r="M27" s="213"/>
    </row>
    <row r="28" spans="2:13" s="208" customFormat="1" x14ac:dyDescent="0.35">
      <c r="B28" s="214" t="s">
        <v>484</v>
      </c>
      <c r="C28" s="215" t="s">
        <v>485</v>
      </c>
      <c r="D28" s="215" t="s">
        <v>153</v>
      </c>
      <c r="E28" s="215" t="str">
        <f>VLOOKUP(D28,'Master Data'!D:E,2,0)</f>
        <v>LICENSES &amp; PERMITS</v>
      </c>
      <c r="F28" s="216">
        <v>62100030</v>
      </c>
      <c r="G28" s="216" t="str">
        <f>VLOOKUP(F28,'Master Data'!$B$232:$C$331,2,0)</f>
        <v>TL - Restribution</v>
      </c>
      <c r="H28" s="217"/>
      <c r="I28" s="218">
        <f>IFERROR(VLOOKUP(F28,'Master Data'!B:B,1,FALSE),0)</f>
        <v>62100030</v>
      </c>
      <c r="J28" s="213"/>
      <c r="K28" s="213"/>
      <c r="L28" s="213"/>
      <c r="M28" s="213"/>
    </row>
    <row r="29" spans="2:13" s="208" customFormat="1" x14ac:dyDescent="0.35">
      <c r="B29" s="214" t="s">
        <v>494</v>
      </c>
      <c r="C29" s="215" t="s">
        <v>495</v>
      </c>
      <c r="D29" s="215" t="s">
        <v>153</v>
      </c>
      <c r="E29" s="215" t="str">
        <f>VLOOKUP(D29,'Master Data'!D:E,2,0)</f>
        <v>LICENSES &amp; PERMITS</v>
      </c>
      <c r="F29" s="216">
        <v>62100030</v>
      </c>
      <c r="G29" s="216" t="str">
        <f>VLOOKUP(F29,'Master Data'!$B$232:$C$331,2,0)</f>
        <v>TL - Restribution</v>
      </c>
      <c r="H29" s="217"/>
      <c r="I29" s="218">
        <f>IFERROR(VLOOKUP(F29,'Master Data'!B:B,1,FALSE),0)</f>
        <v>62100030</v>
      </c>
      <c r="J29" s="213"/>
      <c r="K29" s="213"/>
      <c r="L29" s="213"/>
      <c r="M29" s="213"/>
    </row>
    <row r="30" spans="2:13" s="208" customFormat="1" x14ac:dyDescent="0.35">
      <c r="B30" s="214" t="s">
        <v>486</v>
      </c>
      <c r="C30" s="215" t="s">
        <v>487</v>
      </c>
      <c r="D30" s="215" t="s">
        <v>153</v>
      </c>
      <c r="E30" s="215" t="str">
        <f>VLOOKUP(D30,'Master Data'!D:E,2,0)</f>
        <v>LICENSES &amp; PERMITS</v>
      </c>
      <c r="F30" s="216">
        <v>62100030</v>
      </c>
      <c r="G30" s="216" t="str">
        <f>VLOOKUP(F30,'Master Data'!$B$232:$C$331,2,0)</f>
        <v>TL - Restribution</v>
      </c>
      <c r="H30" s="217"/>
      <c r="I30" s="218">
        <f>IFERROR(VLOOKUP(F30,'Master Data'!B:B,1,FALSE),0)</f>
        <v>62100030</v>
      </c>
      <c r="J30" s="213"/>
      <c r="K30" s="213"/>
      <c r="L30" s="213"/>
      <c r="M30" s="213"/>
    </row>
    <row r="31" spans="2:13" s="208" customFormat="1" x14ac:dyDescent="0.35">
      <c r="B31" s="214" t="s">
        <v>488</v>
      </c>
      <c r="C31" s="215" t="s">
        <v>489</v>
      </c>
      <c r="D31" s="215" t="s">
        <v>153</v>
      </c>
      <c r="E31" s="215" t="str">
        <f>VLOOKUP(D31,'Master Data'!D:E,2,0)</f>
        <v>LICENSES &amp; PERMITS</v>
      </c>
      <c r="F31" s="216">
        <v>62100030</v>
      </c>
      <c r="G31" s="216" t="str">
        <f>VLOOKUP(F31,'Master Data'!$B$232:$C$331,2,0)</f>
        <v>TL - Restribution</v>
      </c>
      <c r="H31" s="217"/>
      <c r="I31" s="218">
        <f>IFERROR(VLOOKUP(F31,'Master Data'!B:B,1,FALSE),0)</f>
        <v>62100030</v>
      </c>
      <c r="J31" s="213"/>
      <c r="K31" s="213"/>
      <c r="L31" s="213"/>
      <c r="M31" s="213"/>
    </row>
    <row r="32" spans="2:13" s="208" customFormat="1" x14ac:dyDescent="0.35">
      <c r="B32" s="214" t="s">
        <v>476</v>
      </c>
      <c r="C32" s="215" t="s">
        <v>477</v>
      </c>
      <c r="D32" s="215" t="s">
        <v>153</v>
      </c>
      <c r="E32" s="215" t="str">
        <f>VLOOKUP(D32,'Master Data'!D:E,2,0)</f>
        <v>LICENSES &amp; PERMITS</v>
      </c>
      <c r="F32" s="216">
        <v>62100030</v>
      </c>
      <c r="G32" s="216" t="str">
        <f>VLOOKUP(F32,'Master Data'!$B$232:$C$331,2,0)</f>
        <v>TL - Restribution</v>
      </c>
      <c r="H32" s="217"/>
      <c r="I32" s="218">
        <f>IFERROR(VLOOKUP(F32,'Master Data'!B:B,1,FALSE),0)</f>
        <v>62100030</v>
      </c>
      <c r="J32" s="213"/>
      <c r="K32" s="213"/>
      <c r="L32" s="213"/>
      <c r="M32" s="213"/>
    </row>
    <row r="33" spans="2:13" s="208" customFormat="1" x14ac:dyDescent="0.35">
      <c r="B33" s="214" t="s">
        <v>490</v>
      </c>
      <c r="C33" s="215" t="s">
        <v>491</v>
      </c>
      <c r="D33" s="215" t="s">
        <v>153</v>
      </c>
      <c r="E33" s="215" t="str">
        <f>VLOOKUP(D33,'Master Data'!D:E,2,0)</f>
        <v>LICENSES &amp; PERMITS</v>
      </c>
      <c r="F33" s="216">
        <v>62100050</v>
      </c>
      <c r="G33" s="216" t="str">
        <f>VLOOKUP(F33,'Master Data'!$B$232:$C$331,2,0)</f>
        <v>TL - Others Tax and License</v>
      </c>
      <c r="H33" s="217" t="s">
        <v>1217</v>
      </c>
      <c r="I33" s="218">
        <f>IFERROR(VLOOKUP(F33,'Master Data'!B:B,1,FALSE),0)</f>
        <v>62100050</v>
      </c>
      <c r="J33" s="213"/>
      <c r="K33" s="213"/>
      <c r="L33" s="213"/>
      <c r="M33" s="213"/>
    </row>
    <row r="34" spans="2:13" s="208" customFormat="1" x14ac:dyDescent="0.35">
      <c r="B34" s="214" t="s">
        <v>474</v>
      </c>
      <c r="C34" s="215" t="s">
        <v>475</v>
      </c>
      <c r="D34" s="215" t="s">
        <v>153</v>
      </c>
      <c r="E34" s="215" t="str">
        <f>VLOOKUP(D34,'Master Data'!D:E,2,0)</f>
        <v>LICENSES &amp; PERMITS</v>
      </c>
      <c r="F34" s="216">
        <v>62400030</v>
      </c>
      <c r="G34" s="216" t="str">
        <f>VLOOKUP(F34,'Master Data'!$B$232:$C$331,2,0)</f>
        <v>Gen. Transp. Travelling Expenses</v>
      </c>
      <c r="H34" s="217"/>
      <c r="I34" s="218">
        <f>IFERROR(VLOOKUP(F34,'Master Data'!B:B,1,FALSE),0)</f>
        <v>62400030</v>
      </c>
      <c r="J34" s="213"/>
      <c r="K34" s="213"/>
      <c r="L34" s="213"/>
      <c r="M34" s="213"/>
    </row>
    <row r="35" spans="2:13" s="208" customFormat="1" x14ac:dyDescent="0.35">
      <c r="B35" s="214" t="s">
        <v>472</v>
      </c>
      <c r="C35" s="215" t="s">
        <v>473</v>
      </c>
      <c r="D35" s="215" t="s">
        <v>153</v>
      </c>
      <c r="E35" s="215" t="str">
        <f>VLOOKUP(D35,'Master Data'!D:E,2,0)</f>
        <v>LICENSES &amp; PERMITS</v>
      </c>
      <c r="F35" s="216">
        <v>62300020</v>
      </c>
      <c r="G35" s="216" t="str">
        <f>VLOOKUP(F35,'Master Data'!$B$232:$C$331,2,0)</f>
        <v>Ceremony Expenses</v>
      </c>
      <c r="H35" s="217"/>
      <c r="I35" s="218">
        <f>IFERROR(VLOOKUP(F35,'Master Data'!B:B,1,FALSE),0)</f>
        <v>62300020</v>
      </c>
      <c r="J35" s="213"/>
      <c r="K35" s="213"/>
      <c r="L35" s="213"/>
      <c r="M35" s="213"/>
    </row>
    <row r="36" spans="2:13" s="208" customFormat="1" x14ac:dyDescent="0.35">
      <c r="B36" s="214" t="s">
        <v>468</v>
      </c>
      <c r="C36" s="215" t="s">
        <v>469</v>
      </c>
      <c r="D36" s="215" t="s">
        <v>153</v>
      </c>
      <c r="E36" s="215" t="str">
        <f>VLOOKUP(D36,'Master Data'!D:E,2,0)</f>
        <v>LICENSES &amp; PERMITS</v>
      </c>
      <c r="F36" s="216">
        <v>62300020</v>
      </c>
      <c r="G36" s="216" t="str">
        <f>VLOOKUP(F36,'Master Data'!$B$232:$C$331,2,0)</f>
        <v>Ceremony Expenses</v>
      </c>
      <c r="H36" s="217"/>
      <c r="I36" s="218">
        <f>IFERROR(VLOOKUP(F36,'Master Data'!B:B,1,FALSE),0)</f>
        <v>62300020</v>
      </c>
      <c r="J36" s="213"/>
      <c r="K36" s="213"/>
      <c r="L36" s="213"/>
      <c r="M36" s="213"/>
    </row>
    <row r="37" spans="2:13" s="208" customFormat="1" x14ac:dyDescent="0.35">
      <c r="B37" s="214" t="s">
        <v>496</v>
      </c>
      <c r="C37" s="215" t="s">
        <v>497</v>
      </c>
      <c r="D37" s="215" t="s">
        <v>153</v>
      </c>
      <c r="E37" s="215" t="str">
        <f>VLOOKUP(D37,'Master Data'!D:E,2,0)</f>
        <v>LICENSES &amp; PERMITS</v>
      </c>
      <c r="F37" s="216">
        <v>62300020</v>
      </c>
      <c r="G37" s="216" t="str">
        <f>VLOOKUP(F37,'Master Data'!$B$232:$C$331,2,0)</f>
        <v>Ceremony Expenses</v>
      </c>
      <c r="H37" s="217"/>
      <c r="I37" s="218">
        <f>IFERROR(VLOOKUP(F37,'Master Data'!B:B,1,FALSE),0)</f>
        <v>62300020</v>
      </c>
      <c r="J37" s="213"/>
      <c r="K37" s="213"/>
      <c r="L37" s="213"/>
      <c r="M37" s="213"/>
    </row>
    <row r="38" spans="2:13" s="208" customFormat="1" x14ac:dyDescent="0.35">
      <c r="B38" s="214" t="s">
        <v>464</v>
      </c>
      <c r="C38" s="215" t="s">
        <v>465</v>
      </c>
      <c r="D38" s="215" t="s">
        <v>153</v>
      </c>
      <c r="E38" s="215" t="str">
        <f>VLOOKUP(D38,'Master Data'!D:E,2,0)</f>
        <v>LICENSES &amp; PERMITS</v>
      </c>
      <c r="F38" s="216">
        <v>61900090</v>
      </c>
      <c r="G38" s="216" t="str">
        <f>VLOOKUP(F38,'Master Data'!$B$232:$C$331,2,0)</f>
        <v>PF - Other Professional Fees</v>
      </c>
      <c r="H38" s="217"/>
      <c r="I38" s="218">
        <f>IFERROR(VLOOKUP(F38,'Master Data'!B:B,1,FALSE),0)</f>
        <v>61900090</v>
      </c>
      <c r="J38" s="213"/>
      <c r="K38" s="213"/>
      <c r="L38" s="213"/>
      <c r="M38" s="213"/>
    </row>
    <row r="39" spans="2:13" s="208" customFormat="1" x14ac:dyDescent="0.35">
      <c r="B39" s="214" t="s">
        <v>480</v>
      </c>
      <c r="C39" s="215" t="s">
        <v>481</v>
      </c>
      <c r="D39" s="215" t="s">
        <v>153</v>
      </c>
      <c r="E39" s="215" t="str">
        <f>VLOOKUP(D39,'Master Data'!D:E,2,0)</f>
        <v>LICENSES &amp; PERMITS</v>
      </c>
      <c r="F39" s="216">
        <v>61900090</v>
      </c>
      <c r="G39" s="216" t="str">
        <f>VLOOKUP(F39,'Master Data'!$B$232:$C$331,2,0)</f>
        <v>PF - Other Professional Fees</v>
      </c>
      <c r="H39" s="217"/>
      <c r="I39" s="218">
        <f>IFERROR(VLOOKUP(F39,'Master Data'!B:B,1,FALSE),0)</f>
        <v>61900090</v>
      </c>
      <c r="J39" s="213"/>
      <c r="K39" s="213"/>
      <c r="L39" s="213"/>
      <c r="M39" s="213"/>
    </row>
    <row r="40" spans="2:13" s="208" customFormat="1" x14ac:dyDescent="0.35">
      <c r="B40" s="214" t="s">
        <v>501</v>
      </c>
      <c r="C40" s="215" t="s">
        <v>502</v>
      </c>
      <c r="D40" s="215" t="s">
        <v>153</v>
      </c>
      <c r="E40" s="215" t="str">
        <f>VLOOKUP(D40,'Master Data'!D:E,2,0)</f>
        <v>LICENSES &amp; PERMITS</v>
      </c>
      <c r="F40" s="216">
        <v>61900090</v>
      </c>
      <c r="G40" s="216" t="str">
        <f>VLOOKUP(F40,'Master Data'!$B$232:$C$331,2,0)</f>
        <v>PF - Other Professional Fees</v>
      </c>
      <c r="H40" s="217"/>
      <c r="I40" s="218">
        <f>IFERROR(VLOOKUP(F40,'Master Data'!B:B,1,FALSE),0)</f>
        <v>61900090</v>
      </c>
      <c r="J40" s="213"/>
      <c r="K40" s="213"/>
      <c r="L40" s="213"/>
      <c r="M40" s="213"/>
    </row>
    <row r="41" spans="2:13" s="208" customFormat="1" x14ac:dyDescent="0.35">
      <c r="B41" s="214" t="s">
        <v>482</v>
      </c>
      <c r="C41" s="215" t="s">
        <v>483</v>
      </c>
      <c r="D41" s="215" t="s">
        <v>153</v>
      </c>
      <c r="E41" s="215" t="str">
        <f>VLOOKUP(D41,'Master Data'!D:E,2,0)</f>
        <v>LICENSES &amp; PERMITS</v>
      </c>
      <c r="F41" s="216">
        <v>62300010</v>
      </c>
      <c r="G41" s="216" t="str">
        <f>VLOOKUP(F41,'Master Data'!$B$232:$C$331,2,0)</f>
        <v>Meeting Expenses</v>
      </c>
      <c r="H41" s="217"/>
      <c r="I41" s="218">
        <f>IFERROR(VLOOKUP(F41,'Master Data'!B:B,1,FALSE),0)</f>
        <v>62300010</v>
      </c>
      <c r="J41" s="213"/>
      <c r="K41" s="213"/>
      <c r="L41" s="213"/>
      <c r="M41" s="213"/>
    </row>
    <row r="42" spans="2:13" s="208" customFormat="1" x14ac:dyDescent="0.35">
      <c r="B42" s="214" t="s">
        <v>492</v>
      </c>
      <c r="C42" s="215" t="s">
        <v>493</v>
      </c>
      <c r="D42" s="215" t="s">
        <v>153</v>
      </c>
      <c r="E42" s="215" t="str">
        <f>VLOOKUP(D42,'Master Data'!D:E,2,0)</f>
        <v>LICENSES &amp; PERMITS</v>
      </c>
      <c r="F42" s="216">
        <v>61900090</v>
      </c>
      <c r="G42" s="216" t="str">
        <f>VLOOKUP(F42,'Master Data'!$B$232:$C$331,2,0)</f>
        <v>PF - Other Professional Fees</v>
      </c>
      <c r="H42" s="217"/>
      <c r="I42" s="218">
        <f>IFERROR(VLOOKUP(F42,'Master Data'!B:B,1,FALSE),0)</f>
        <v>61900090</v>
      </c>
      <c r="J42" s="213"/>
      <c r="K42" s="213"/>
      <c r="L42" s="213"/>
      <c r="M42" s="213"/>
    </row>
    <row r="43" spans="2:13" s="208" customFormat="1" x14ac:dyDescent="0.35">
      <c r="B43" s="214" t="s">
        <v>498</v>
      </c>
      <c r="C43" s="215" t="s">
        <v>571</v>
      </c>
      <c r="D43" s="215" t="s">
        <v>153</v>
      </c>
      <c r="E43" s="215" t="str">
        <f>VLOOKUP(D43,'Master Data'!D:E,2,0)</f>
        <v>LICENSES &amp; PERMITS</v>
      </c>
      <c r="F43" s="216">
        <v>61900090</v>
      </c>
      <c r="G43" s="216" t="str">
        <f>VLOOKUP(F43,'Master Data'!$B$232:$C$331,2,0)</f>
        <v>PF - Other Professional Fees</v>
      </c>
      <c r="H43" s="217"/>
      <c r="I43" s="218">
        <f>IFERROR(VLOOKUP(F43,'Master Data'!B:B,1,FALSE),0)</f>
        <v>61900090</v>
      </c>
      <c r="J43" s="213"/>
      <c r="K43" s="213"/>
      <c r="L43" s="213"/>
      <c r="M43" s="213"/>
    </row>
    <row r="44" spans="2:13" s="208" customFormat="1" x14ac:dyDescent="0.35">
      <c r="B44" s="214" t="s">
        <v>499</v>
      </c>
      <c r="C44" s="215" t="s">
        <v>500</v>
      </c>
      <c r="D44" s="215" t="s">
        <v>153</v>
      </c>
      <c r="E44" s="215" t="str">
        <f>VLOOKUP(D44,'Master Data'!D:E,2,0)</f>
        <v>LICENSES &amp; PERMITS</v>
      </c>
      <c r="F44" s="216">
        <v>61900090</v>
      </c>
      <c r="G44" s="216" t="str">
        <f>VLOOKUP(F44,'Master Data'!$B$232:$C$331,2,0)</f>
        <v>PF - Other Professional Fees</v>
      </c>
      <c r="H44" s="217"/>
      <c r="I44" s="218">
        <f>IFERROR(VLOOKUP(F44,'Master Data'!B:B,1,FALSE),0)</f>
        <v>61900090</v>
      </c>
      <c r="J44" s="213"/>
      <c r="K44" s="213"/>
      <c r="L44" s="213"/>
      <c r="M44" s="213"/>
    </row>
    <row r="45" spans="2:13" s="208" customFormat="1" ht="29" x14ac:dyDescent="0.35">
      <c r="B45" s="214" t="s">
        <v>503</v>
      </c>
      <c r="C45" s="215" t="s">
        <v>504</v>
      </c>
      <c r="D45" s="215" t="s">
        <v>153</v>
      </c>
      <c r="E45" s="215" t="str">
        <f>VLOOKUP(D45,'Master Data'!D:E,2,0)</f>
        <v>LICENSES &amp; PERMITS</v>
      </c>
      <c r="F45" s="216">
        <v>62100030</v>
      </c>
      <c r="G45" s="216" t="str">
        <f>VLOOKUP(F45,'Master Data'!$B$232:$C$331,2,0)</f>
        <v>TL - Restribution</v>
      </c>
      <c r="H45" s="219" t="s">
        <v>1215</v>
      </c>
      <c r="I45" s="218">
        <f>IFERROR(VLOOKUP(F45,'Master Data'!B:B,1,FALSE),0)</f>
        <v>62100030</v>
      </c>
      <c r="J45" s="213"/>
      <c r="K45" s="213"/>
      <c r="L45" s="213"/>
      <c r="M45" s="213"/>
    </row>
    <row r="46" spans="2:13" s="208" customFormat="1" x14ac:dyDescent="0.35">
      <c r="B46" s="214" t="s">
        <v>505</v>
      </c>
      <c r="C46" s="215" t="s">
        <v>506</v>
      </c>
      <c r="D46" s="215" t="s">
        <v>153</v>
      </c>
      <c r="E46" s="215" t="str">
        <f>VLOOKUP(D46,'Master Data'!D:E,2,0)</f>
        <v>LICENSES &amp; PERMITS</v>
      </c>
      <c r="F46" s="216">
        <v>62100030</v>
      </c>
      <c r="G46" s="216" t="str">
        <f>VLOOKUP(F46,'Master Data'!$B$232:$C$331,2,0)</f>
        <v>TL - Restribution</v>
      </c>
      <c r="H46" s="217" t="s">
        <v>1214</v>
      </c>
      <c r="I46" s="218">
        <f>IFERROR(VLOOKUP(F46,'Master Data'!B:B,1,FALSE),0)</f>
        <v>62100030</v>
      </c>
      <c r="J46" s="213"/>
      <c r="K46" s="213"/>
      <c r="L46" s="213"/>
      <c r="M46" s="213"/>
    </row>
    <row r="47" spans="2:13" s="208" customFormat="1" ht="43.5" x14ac:dyDescent="0.35">
      <c r="B47" s="214" t="s">
        <v>576</v>
      </c>
      <c r="C47" s="215" t="s">
        <v>568</v>
      </c>
      <c r="D47" s="215" t="s">
        <v>153</v>
      </c>
      <c r="E47" s="215" t="str">
        <f>VLOOKUP(D47,'Master Data'!D:E,2,0)</f>
        <v>LICENSES &amp; PERMITS</v>
      </c>
      <c r="F47" s="216">
        <v>61900090</v>
      </c>
      <c r="G47" s="216" t="str">
        <f>VLOOKUP(F47,'Master Data'!$B$232:$C$331,2,0)</f>
        <v>PF - Other Professional Fees</v>
      </c>
      <c r="H47" s="219" t="s">
        <v>1211</v>
      </c>
      <c r="I47" s="218">
        <f>IFERROR(VLOOKUP(F47,'Master Data'!B:B,1,FALSE),0)</f>
        <v>61900090</v>
      </c>
      <c r="J47" s="213"/>
      <c r="K47" s="213"/>
      <c r="L47" s="213"/>
      <c r="M47" s="213"/>
    </row>
    <row r="48" spans="2:13" s="208" customFormat="1" x14ac:dyDescent="0.35">
      <c r="B48" s="214" t="s">
        <v>577</v>
      </c>
      <c r="C48" s="215" t="s">
        <v>578</v>
      </c>
      <c r="D48" s="215" t="s">
        <v>153</v>
      </c>
      <c r="E48" s="215" t="str">
        <f>VLOOKUP(D48,'Master Data'!D:E,2,0)</f>
        <v>LICENSES &amp; PERMITS</v>
      </c>
      <c r="F48" s="216">
        <v>61900090</v>
      </c>
      <c r="G48" s="216" t="str">
        <f>VLOOKUP(F48,'Master Data'!$B$232:$C$331,2,0)</f>
        <v>PF - Other Professional Fees</v>
      </c>
      <c r="H48" s="217"/>
      <c r="I48" s="218">
        <f>IFERROR(VLOOKUP(F48,'Master Data'!B:B,1,FALSE),0)</f>
        <v>61900090</v>
      </c>
      <c r="J48" s="213"/>
      <c r="K48" s="213"/>
      <c r="L48" s="213"/>
      <c r="M48" s="213"/>
    </row>
    <row r="49" spans="2:13" x14ac:dyDescent="0.35">
      <c r="B49" s="222"/>
      <c r="C49" s="223"/>
      <c r="D49" s="224"/>
      <c r="E49" s="224"/>
      <c r="F49" s="223"/>
      <c r="G49" s="224" t="str">
        <f>IF(B49="","",VLOOKUP(F49,#REF!,2,0))</f>
        <v/>
      </c>
      <c r="H49" s="225"/>
      <c r="I49" s="218"/>
      <c r="M49" s="213"/>
    </row>
    <row r="50" spans="2:13" ht="15" thickBot="1" x14ac:dyDescent="0.4">
      <c r="B50" s="226"/>
      <c r="C50" s="227"/>
      <c r="D50" s="227"/>
      <c r="E50" s="227"/>
      <c r="F50" s="227"/>
      <c r="G50" s="227"/>
      <c r="H50" s="228"/>
      <c r="I50" s="218"/>
      <c r="M50" s="213"/>
    </row>
    <row r="51" spans="2:13" ht="15" thickBot="1" x14ac:dyDescent="0.4">
      <c r="M51" s="213"/>
    </row>
    <row r="52" spans="2:13" ht="21" customHeight="1" x14ac:dyDescent="0.35">
      <c r="B52" s="333" t="s">
        <v>555</v>
      </c>
      <c r="C52" s="334"/>
      <c r="D52" s="334"/>
      <c r="E52" s="334"/>
      <c r="F52" s="334"/>
      <c r="G52" s="334"/>
      <c r="H52" s="335"/>
      <c r="I52" s="329" t="s">
        <v>324</v>
      </c>
      <c r="M52" s="213"/>
    </row>
    <row r="53" spans="2:13" ht="15" thickBot="1" x14ac:dyDescent="0.4">
      <c r="B53" s="229" t="s">
        <v>322</v>
      </c>
      <c r="C53" s="230" t="s">
        <v>262</v>
      </c>
      <c r="D53" s="230" t="s">
        <v>32</v>
      </c>
      <c r="E53" s="230" t="s">
        <v>260</v>
      </c>
      <c r="F53" s="231" t="s">
        <v>261</v>
      </c>
      <c r="G53" s="231" t="s">
        <v>261</v>
      </c>
      <c r="H53" s="232" t="s">
        <v>224</v>
      </c>
      <c r="I53" s="330"/>
      <c r="M53" s="213"/>
    </row>
    <row r="54" spans="2:13" x14ac:dyDescent="0.35">
      <c r="B54" s="233"/>
      <c r="C54" s="234"/>
      <c r="D54" s="235">
        <f>IFERROR(VLOOKUP(E54,'Master Data'!$E$59:$L$144,8,FALSE),0)</f>
        <v>0</v>
      </c>
      <c r="E54" s="236"/>
      <c r="F54" s="237">
        <f>IFERROR(VLOOKUP(G54,'Master Data'!$C$233:$H$331,6,FALSE),0)</f>
        <v>0</v>
      </c>
      <c r="G54" s="236"/>
      <c r="H54" s="238"/>
      <c r="I54" s="239" t="str">
        <f t="shared" ref="I54:I59" si="0">IF(B54="","",IF(AND(RIGHT(D54,5)=LEFT(B54,5),MID(B54,6,1)="-",COUNTIFS(B:B,"*"&amp;RIGHT(B54,5))=1),"Benar","Salah"))</f>
        <v/>
      </c>
      <c r="M54" s="213"/>
    </row>
    <row r="55" spans="2:13" x14ac:dyDescent="0.35">
      <c r="B55" s="233"/>
      <c r="C55" s="117"/>
      <c r="D55" s="240">
        <f>IFERROR(VLOOKUP(E55,'Master Data'!$E$59:$L$144,8,FALSE),0)</f>
        <v>0</v>
      </c>
      <c r="F55" s="241">
        <f>IFERROR(VLOOKUP(G55,'Master Data'!$C$233:$H$331,6,FALSE),0)</f>
        <v>0</v>
      </c>
      <c r="H55" s="242"/>
      <c r="I55" s="239" t="str">
        <f t="shared" si="0"/>
        <v/>
      </c>
      <c r="M55" s="213"/>
    </row>
    <row r="56" spans="2:13" x14ac:dyDescent="0.35">
      <c r="B56" s="233"/>
      <c r="C56" s="117"/>
      <c r="D56" s="240">
        <f>IFERROR(VLOOKUP(E56,'Master Data'!$E$59:$L$144,8,FALSE),0)</f>
        <v>0</v>
      </c>
      <c r="F56" s="241">
        <f>IFERROR(VLOOKUP(G56,'Master Data'!$C$233:$H$331,6,FALSE),0)</f>
        <v>0</v>
      </c>
      <c r="H56" s="242"/>
      <c r="I56" s="239" t="str">
        <f t="shared" si="0"/>
        <v/>
      </c>
      <c r="M56" s="213"/>
    </row>
    <row r="57" spans="2:13" x14ac:dyDescent="0.35">
      <c r="B57" s="233"/>
      <c r="C57" s="117"/>
      <c r="D57" s="240">
        <f>IFERROR(VLOOKUP(E57,'Master Data'!$E$59:$L$144,8,FALSE),0)</f>
        <v>0</v>
      </c>
      <c r="F57" s="241">
        <f>IFERROR(VLOOKUP(G57,'Master Data'!$C$233:$H$331,6,FALSE),0)</f>
        <v>0</v>
      </c>
      <c r="H57" s="242"/>
      <c r="I57" s="239" t="str">
        <f t="shared" si="0"/>
        <v/>
      </c>
      <c r="M57" s="213"/>
    </row>
    <row r="58" spans="2:13" x14ac:dyDescent="0.35">
      <c r="B58" s="233"/>
      <c r="C58" s="117"/>
      <c r="D58" s="240">
        <f>IFERROR(VLOOKUP(E58,'Master Data'!$E$59:$L$144,8,FALSE),0)</f>
        <v>0</v>
      </c>
      <c r="F58" s="241">
        <f>IFERROR(VLOOKUP(G58,'Master Data'!$C$233:$H$331,6,FALSE),0)</f>
        <v>0</v>
      </c>
      <c r="H58" s="242"/>
      <c r="I58" s="239" t="str">
        <f t="shared" si="0"/>
        <v/>
      </c>
      <c r="M58" s="213"/>
    </row>
    <row r="59" spans="2:13" x14ac:dyDescent="0.35">
      <c r="B59" s="233"/>
      <c r="C59" s="117"/>
      <c r="D59" s="240">
        <f>IFERROR(VLOOKUP(E59,'Master Data'!$E$59:$L$144,8,FALSE),0)</f>
        <v>0</v>
      </c>
      <c r="F59" s="241">
        <f>IFERROR(VLOOKUP(G59,'Master Data'!$C$233:$H$331,6,FALSE),0)</f>
        <v>0</v>
      </c>
      <c r="H59" s="242"/>
      <c r="I59" s="239" t="str">
        <f t="shared" si="0"/>
        <v/>
      </c>
      <c r="M59" s="213"/>
    </row>
    <row r="60" spans="2:13" x14ac:dyDescent="0.35">
      <c r="B60" s="233"/>
      <c r="C60" s="117"/>
      <c r="D60" s="240">
        <f>IFERROR(VLOOKUP(E60,'Master Data'!$E$59:$L$144,8,FALSE),0)</f>
        <v>0</v>
      </c>
      <c r="F60" s="241">
        <f>IFERROR(VLOOKUP(G60,'Master Data'!$C$233:$H$331,6,FALSE),0)</f>
        <v>0</v>
      </c>
      <c r="H60" s="242"/>
      <c r="I60" s="239"/>
      <c r="M60" s="213"/>
    </row>
    <row r="61" spans="2:13" x14ac:dyDescent="0.35">
      <c r="B61" s="233"/>
      <c r="C61" s="117"/>
      <c r="D61" s="240">
        <f>IFERROR(VLOOKUP(E61,'Master Data'!$E$59:$L$144,8,FALSE),0)</f>
        <v>0</v>
      </c>
      <c r="F61" s="241">
        <f>IFERROR(VLOOKUP(G61,'Master Data'!$C$233:$H$331,6,FALSE),0)</f>
        <v>0</v>
      </c>
      <c r="H61" s="242"/>
      <c r="I61" s="239" t="str">
        <f>IF(B61="","",IF(AND(RIGHT(D61,5)=LEFT(B61,5),MID(B61,6,1)="-",COUNTIFS(B:B,"*"&amp;RIGHT(B61,5))=1),"Benar","Salah"))</f>
        <v/>
      </c>
      <c r="M61" s="213"/>
    </row>
    <row r="62" spans="2:13" x14ac:dyDescent="0.35">
      <c r="B62" s="233"/>
      <c r="C62" s="117"/>
      <c r="D62" s="240">
        <f>IFERROR(VLOOKUP(E62,'Master Data'!$E$59:$L$144,8,FALSE),0)</f>
        <v>0</v>
      </c>
      <c r="F62" s="241">
        <f>IFERROR(VLOOKUP(G62,'Master Data'!$C$233:$H$331,6,FALSE),0)</f>
        <v>0</v>
      </c>
      <c r="H62" s="242"/>
      <c r="I62" s="239"/>
      <c r="M62" s="213"/>
    </row>
    <row r="63" spans="2:13" ht="15" thickBot="1" x14ac:dyDescent="0.4">
      <c r="B63" s="243"/>
      <c r="C63" s="244"/>
      <c r="D63" s="245">
        <f>IFERROR(VLOOKUP(E63,'Master Data'!$E$59:$L$144,8,FALSE),0)</f>
        <v>0</v>
      </c>
      <c r="E63" s="246"/>
      <c r="F63" s="247">
        <f>IFERROR(VLOOKUP(G63,'Master Data'!$C$233:$H$331,6,FALSE),0)</f>
        <v>0</v>
      </c>
      <c r="G63" s="246"/>
      <c r="H63" s="248"/>
      <c r="I63" s="239" t="str">
        <f>IF(B63="","",IF(AND(RIGHT(D63,5)=LEFT(B63,5),MID(B63,6,1)="-",COUNTIFS(B:B,"*"&amp;RIGHT(B63,5))=1),"Benar","Salah"))</f>
        <v/>
      </c>
      <c r="M63" s="213"/>
    </row>
    <row r="64" spans="2:13" x14ac:dyDescent="0.35">
      <c r="M64" s="213"/>
    </row>
    <row r="65" spans="2:13" ht="15" thickBot="1" x14ac:dyDescent="0.4"/>
    <row r="66" spans="2:13" x14ac:dyDescent="0.35">
      <c r="B66" s="333" t="s">
        <v>678</v>
      </c>
      <c r="C66" s="334"/>
      <c r="D66" s="334"/>
      <c r="E66" s="334"/>
      <c r="F66" s="334"/>
      <c r="G66" s="334"/>
      <c r="H66" s="335"/>
      <c r="I66" s="329" t="s">
        <v>324</v>
      </c>
    </row>
    <row r="67" spans="2:13" ht="21" customHeight="1" thickBot="1" x14ac:dyDescent="0.4">
      <c r="B67" s="229" t="s">
        <v>322</v>
      </c>
      <c r="C67" s="230" t="s">
        <v>262</v>
      </c>
      <c r="D67" s="230" t="s">
        <v>32</v>
      </c>
      <c r="E67" s="230" t="s">
        <v>260</v>
      </c>
      <c r="F67" s="231" t="s">
        <v>261</v>
      </c>
      <c r="G67" s="231" t="s">
        <v>261</v>
      </c>
      <c r="H67" s="232" t="s">
        <v>224</v>
      </c>
      <c r="I67" s="330"/>
    </row>
    <row r="68" spans="2:13" x14ac:dyDescent="0.35">
      <c r="B68" s="233"/>
      <c r="C68" s="117"/>
      <c r="D68" s="240">
        <f>IFERROR(VLOOKUP(E68,'Master Data'!$E$59:$L$144,8,FALSE),0)</f>
        <v>0</v>
      </c>
      <c r="E68" s="236"/>
      <c r="F68" s="237">
        <f>IFERROR(VLOOKUP(G68,'Master Data'!$C$233:$H$331,6,FALSE),0)</f>
        <v>0</v>
      </c>
      <c r="G68" s="236"/>
      <c r="H68" s="238"/>
      <c r="I68" s="239" t="str">
        <f t="shared" ref="I68:I73" si="1">IF(B68="","",IF(AND(RIGHT(D68,5)=LEFT(B68,5),MID(B68,6,1)="-",COUNTIFS(B:B,"*"&amp;RIGHT(B68,5))=1),"Benar","Salah"))</f>
        <v/>
      </c>
    </row>
    <row r="69" spans="2:13" x14ac:dyDescent="0.35">
      <c r="B69" s="233"/>
      <c r="C69" s="117"/>
      <c r="D69" s="240">
        <f>IFERROR(VLOOKUP(E69,'Master Data'!$E$59:$L$144,8,FALSE),0)</f>
        <v>0</v>
      </c>
      <c r="F69" s="241">
        <f>IFERROR(VLOOKUP(G69,'Master Data'!$C$233:$H$331,6,FALSE),0)</f>
        <v>0</v>
      </c>
      <c r="H69" s="242"/>
      <c r="I69" s="239" t="str">
        <f t="shared" si="1"/>
        <v/>
      </c>
      <c r="M69" s="213"/>
    </row>
    <row r="70" spans="2:13" x14ac:dyDescent="0.35">
      <c r="B70" s="233"/>
      <c r="C70" s="117"/>
      <c r="D70" s="240">
        <f>IFERROR(VLOOKUP(E70,'Master Data'!$E$59:$L$144,8,FALSE),0)</f>
        <v>0</v>
      </c>
      <c r="F70" s="241">
        <f>IFERROR(VLOOKUP(G70,'Master Data'!$C$233:$H$331,6,FALSE),0)</f>
        <v>0</v>
      </c>
      <c r="H70" s="242"/>
      <c r="I70" s="239" t="str">
        <f t="shared" si="1"/>
        <v/>
      </c>
      <c r="M70" s="213"/>
    </row>
    <row r="71" spans="2:13" x14ac:dyDescent="0.35">
      <c r="B71" s="233"/>
      <c r="C71" s="117"/>
      <c r="D71" s="240">
        <f>IFERROR(VLOOKUP(E71,'Master Data'!$E$59:$L$144,8,FALSE),0)</f>
        <v>0</v>
      </c>
      <c r="F71" s="241">
        <f>IFERROR(VLOOKUP(G71,'Master Data'!$C$233:$H$331,6,FALSE),0)</f>
        <v>0</v>
      </c>
      <c r="H71" s="242"/>
      <c r="I71" s="239" t="str">
        <f t="shared" si="1"/>
        <v/>
      </c>
      <c r="M71" s="213"/>
    </row>
    <row r="72" spans="2:13" x14ac:dyDescent="0.35">
      <c r="B72" s="233"/>
      <c r="C72" s="117"/>
      <c r="D72" s="240">
        <f>IFERROR(VLOOKUP(E72,'Master Data'!$E$59:$L$144,8,FALSE),0)</f>
        <v>0</v>
      </c>
      <c r="F72" s="241">
        <f>IFERROR(VLOOKUP(G72,'Master Data'!$C$233:$H$331,6,FALSE),0)</f>
        <v>0</v>
      </c>
      <c r="H72" s="242"/>
      <c r="I72" s="239" t="str">
        <f t="shared" si="1"/>
        <v/>
      </c>
      <c r="M72" s="213"/>
    </row>
    <row r="73" spans="2:13" x14ac:dyDescent="0.35">
      <c r="B73" s="233"/>
      <c r="C73" s="117"/>
      <c r="D73" s="240">
        <f>IFERROR(VLOOKUP(E73,'Master Data'!$E$59:$L$144,8,FALSE),0)</f>
        <v>0</v>
      </c>
      <c r="F73" s="241">
        <f>IFERROR(VLOOKUP(G73,'Master Data'!$C$233:$H$331,6,FALSE),0)</f>
        <v>0</v>
      </c>
      <c r="H73" s="242"/>
      <c r="I73" s="239" t="str">
        <f t="shared" si="1"/>
        <v/>
      </c>
      <c r="M73" s="213"/>
    </row>
    <row r="74" spans="2:13" x14ac:dyDescent="0.35">
      <c r="B74" s="233"/>
      <c r="C74" s="117"/>
      <c r="D74" s="240">
        <f>IFERROR(VLOOKUP(E74,'Master Data'!$E$59:$L$144,8,FALSE),0)</f>
        <v>0</v>
      </c>
      <c r="F74" s="241">
        <f>IFERROR(VLOOKUP(G74,'Master Data'!$C$233:$H$331,6,FALSE),0)</f>
        <v>0</v>
      </c>
      <c r="H74" s="242"/>
      <c r="I74" s="239"/>
      <c r="M74" s="213"/>
    </row>
    <row r="75" spans="2:13" x14ac:dyDescent="0.35">
      <c r="B75" s="233"/>
      <c r="C75" s="117"/>
      <c r="D75" s="240">
        <f>IFERROR(VLOOKUP(E75,'Master Data'!$E$59:$L$144,8,FALSE),0)</f>
        <v>0</v>
      </c>
      <c r="F75" s="241">
        <f>IFERROR(VLOOKUP(G75,'Master Data'!$C$233:$H$331,6,FALSE),0)</f>
        <v>0</v>
      </c>
      <c r="H75" s="242"/>
      <c r="I75" s="239"/>
      <c r="M75" s="213"/>
    </row>
    <row r="76" spans="2:13" x14ac:dyDescent="0.35">
      <c r="B76" s="233"/>
      <c r="C76" s="117"/>
      <c r="D76" s="240">
        <f>IFERROR(VLOOKUP(E76,'Master Data'!$E$59:$L$144,8,FALSE),0)</f>
        <v>0</v>
      </c>
      <c r="F76" s="241">
        <f>IFERROR(VLOOKUP(G76,'Master Data'!$C$233:$H$331,6,FALSE),0)</f>
        <v>0</v>
      </c>
      <c r="H76" s="242"/>
      <c r="I76" s="239" t="str">
        <f>IF(B76="","",IF(AND(RIGHT(D76,5)=LEFT(B76,5),MID(B76,6,1)="-",COUNTIFS(B:B,"*"&amp;RIGHT(B76,5))=1),"Benar","Salah"))</f>
        <v/>
      </c>
      <c r="M76" s="213"/>
    </row>
    <row r="77" spans="2:13" ht="15" thickBot="1" x14ac:dyDescent="0.4">
      <c r="B77" s="243"/>
      <c r="C77" s="244"/>
      <c r="D77" s="245">
        <f>IFERROR(VLOOKUP(E77,'Master Data'!$E$59:$L$144,8,FALSE),0)</f>
        <v>0</v>
      </c>
      <c r="E77" s="246"/>
      <c r="F77" s="247">
        <f>IFERROR(VLOOKUP(G77,'Master Data'!$C$233:$H$331,6,FALSE),0)</f>
        <v>0</v>
      </c>
      <c r="G77" s="246"/>
      <c r="H77" s="248"/>
      <c r="I77" s="288" t="str">
        <f>IF(B77="","",IF(AND(RIGHT(D77,5)=LEFT(B77,5),MID(B77,6,1)="-",COUNTIFS(B:B,"*"&amp;RIGHT(B77,5))=1),"Benar","Salah"))</f>
        <v/>
      </c>
      <c r="M77" s="213"/>
    </row>
  </sheetData>
  <sheetProtection autoFilter="0"/>
  <autoFilter ref="B3:G64" xr:uid="{00000000-0009-0000-0000-000004000000}"/>
  <sortState xmlns:xlrd2="http://schemas.microsoft.com/office/spreadsheetml/2017/richdata2" ref="B4:H48">
    <sortCondition ref="B4:B48"/>
  </sortState>
  <mergeCells count="5">
    <mergeCell ref="I52:I53"/>
    <mergeCell ref="B2:H2"/>
    <mergeCell ref="B52:H52"/>
    <mergeCell ref="B66:H66"/>
    <mergeCell ref="I66:I67"/>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DF00CF42-893F-48C1-9EE3-9760C40FCEE8}">
          <x14:formula1>
            <xm:f>'Master Data'!$E$99:$E$102</xm:f>
          </x14:formula1>
          <xm:sqref>E54:E63 E68:E77</xm:sqref>
        </x14:dataValidation>
        <x14:dataValidation type="list" allowBlank="1" showInputMessage="1" showErrorMessage="1" xr:uid="{1543FAEC-FBBA-4C85-A4BB-FD4B865B5B1E}">
          <x14:formula1>
            <xm:f>'Master Data'!$C$233:$C$331</xm:f>
          </x14:formula1>
          <xm:sqref>G54:G63 G68:G77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414F1-74E3-432B-98F5-B53303E457C4}">
  <dimension ref="B2:L373"/>
  <sheetViews>
    <sheetView zoomScale="80" zoomScaleNormal="80" workbookViewId="0">
      <selection activeCell="B2" sqref="B2"/>
    </sheetView>
  </sheetViews>
  <sheetFormatPr defaultColWidth="9.1796875" defaultRowHeight="14.5" outlineLevelRow="1" x14ac:dyDescent="0.35"/>
  <cols>
    <col min="1" max="1" width="4.1796875" style="84" customWidth="1"/>
    <col min="2" max="2" width="26.54296875" style="84" bestFit="1" customWidth="1"/>
    <col min="3" max="3" width="30.81640625" style="84" bestFit="1" customWidth="1"/>
    <col min="4" max="4" width="39.54296875" style="84" customWidth="1"/>
    <col min="5" max="5" width="32.7265625" style="84" bestFit="1" customWidth="1"/>
    <col min="6" max="6" width="30.26953125" style="84" bestFit="1" customWidth="1"/>
    <col min="7" max="7" width="3.453125" style="84" customWidth="1"/>
    <col min="8" max="8" width="20.453125" style="85" customWidth="1"/>
    <col min="9" max="9" width="27.54296875" style="85" customWidth="1"/>
    <col min="10" max="10" width="32.81640625" style="84" bestFit="1" customWidth="1"/>
    <col min="11" max="11" width="9.1796875" style="84"/>
    <col min="12" max="12" width="16.54296875" style="84" customWidth="1"/>
    <col min="13" max="14" width="9.1796875" style="84"/>
    <col min="15" max="15" width="30.81640625" style="84" bestFit="1" customWidth="1"/>
    <col min="16" max="16" width="25.81640625" style="84" bestFit="1" customWidth="1"/>
    <col min="17" max="16384" width="9.1796875" style="84"/>
  </cols>
  <sheetData>
    <row r="2" spans="2:9" s="81" customFormat="1" x14ac:dyDescent="0.35">
      <c r="B2" s="80" t="s">
        <v>127</v>
      </c>
      <c r="H2" s="82"/>
      <c r="I2" s="82"/>
    </row>
    <row r="4" spans="2:9" outlineLevel="1" x14ac:dyDescent="0.35">
      <c r="B4" s="83" t="s">
        <v>127</v>
      </c>
      <c r="C4" s="83" t="s">
        <v>138</v>
      </c>
    </row>
    <row r="5" spans="2:9" outlineLevel="1" x14ac:dyDescent="0.35">
      <c r="B5" s="86" t="s">
        <v>604</v>
      </c>
      <c r="C5" s="86" t="s">
        <v>405</v>
      </c>
    </row>
    <row r="6" spans="2:9" outlineLevel="1" x14ac:dyDescent="0.35">
      <c r="B6" s="86" t="s">
        <v>605</v>
      </c>
      <c r="C6" s="86" t="s">
        <v>407</v>
      </c>
    </row>
    <row r="7" spans="2:9" outlineLevel="1" x14ac:dyDescent="0.35">
      <c r="B7" s="86" t="s">
        <v>696</v>
      </c>
      <c r="C7" s="86" t="s">
        <v>606</v>
      </c>
    </row>
    <row r="8" spans="2:9" outlineLevel="1" x14ac:dyDescent="0.35">
      <c r="B8" s="86" t="s">
        <v>16</v>
      </c>
      <c r="C8" s="86" t="s">
        <v>16</v>
      </c>
    </row>
    <row r="9" spans="2:9" outlineLevel="1" x14ac:dyDescent="0.35">
      <c r="B9" s="86" t="s">
        <v>328</v>
      </c>
      <c r="C9" s="86" t="s">
        <v>328</v>
      </c>
    </row>
    <row r="10" spans="2:9" outlineLevel="1" x14ac:dyDescent="0.35">
      <c r="B10" s="86" t="s">
        <v>602</v>
      </c>
      <c r="C10" s="86" t="s">
        <v>602</v>
      </c>
    </row>
    <row r="11" spans="2:9" outlineLevel="1" x14ac:dyDescent="0.35">
      <c r="B11" s="86" t="s">
        <v>603</v>
      </c>
      <c r="C11" s="86" t="s">
        <v>603</v>
      </c>
    </row>
    <row r="12" spans="2:9" outlineLevel="1" x14ac:dyDescent="0.35">
      <c r="B12" s="86" t="s">
        <v>1192</v>
      </c>
      <c r="C12" s="86" t="s">
        <v>1192</v>
      </c>
    </row>
    <row r="13" spans="2:9" outlineLevel="1" x14ac:dyDescent="0.35">
      <c r="B13" s="86" t="s">
        <v>129</v>
      </c>
      <c r="C13" s="86" t="s">
        <v>23</v>
      </c>
    </row>
    <row r="14" spans="2:9" outlineLevel="1" x14ac:dyDescent="0.35">
      <c r="B14" s="86" t="s">
        <v>329</v>
      </c>
      <c r="C14" s="86" t="s">
        <v>187</v>
      </c>
    </row>
    <row r="15" spans="2:9" outlineLevel="1" x14ac:dyDescent="0.35">
      <c r="B15" s="86" t="s">
        <v>131</v>
      </c>
      <c r="C15" s="86" t="s">
        <v>137</v>
      </c>
    </row>
    <row r="16" spans="2:9" outlineLevel="1" x14ac:dyDescent="0.35">
      <c r="B16"/>
    </row>
    <row r="17" spans="2:9" s="81" customFormat="1" x14ac:dyDescent="0.35">
      <c r="B17" s="80" t="s">
        <v>689</v>
      </c>
      <c r="H17" s="82"/>
      <c r="I17" s="82"/>
    </row>
    <row r="18" spans="2:9" x14ac:dyDescent="0.35">
      <c r="B18"/>
    </row>
    <row r="19" spans="2:9" outlineLevel="1" x14ac:dyDescent="0.35">
      <c r="B19" s="17" t="s">
        <v>693</v>
      </c>
      <c r="C19" s="17" t="s">
        <v>689</v>
      </c>
    </row>
    <row r="20" spans="2:9" outlineLevel="1" x14ac:dyDescent="0.35">
      <c r="B20" s="18" t="s">
        <v>604</v>
      </c>
      <c r="C20" s="18" t="s">
        <v>404</v>
      </c>
    </row>
    <row r="21" spans="2:9" outlineLevel="1" x14ac:dyDescent="0.35">
      <c r="B21" s="18" t="s">
        <v>604</v>
      </c>
      <c r="C21" s="18" t="s">
        <v>400</v>
      </c>
    </row>
    <row r="22" spans="2:9" outlineLevel="1" x14ac:dyDescent="0.35">
      <c r="B22" s="18" t="s">
        <v>604</v>
      </c>
      <c r="C22" s="18" t="s">
        <v>401</v>
      </c>
    </row>
    <row r="23" spans="2:9" outlineLevel="1" x14ac:dyDescent="0.35">
      <c r="B23" s="18" t="s">
        <v>605</v>
      </c>
      <c r="C23" s="18" t="s">
        <v>694</v>
      </c>
    </row>
    <row r="24" spans="2:9" outlineLevel="1" x14ac:dyDescent="0.35">
      <c r="B24" s="18" t="s">
        <v>605</v>
      </c>
      <c r="C24" s="18" t="s">
        <v>695</v>
      </c>
    </row>
    <row r="25" spans="2:9" outlineLevel="1" x14ac:dyDescent="0.35">
      <c r="B25" s="18" t="s">
        <v>605</v>
      </c>
      <c r="C25" s="18" t="s">
        <v>380</v>
      </c>
    </row>
    <row r="26" spans="2:9" outlineLevel="1" x14ac:dyDescent="0.35">
      <c r="B26" s="18" t="s">
        <v>605</v>
      </c>
      <c r="C26" s="18" t="s">
        <v>442</v>
      </c>
    </row>
    <row r="27" spans="2:9" outlineLevel="1" x14ac:dyDescent="0.35">
      <c r="B27" s="18" t="s">
        <v>605</v>
      </c>
      <c r="C27" s="18" t="s">
        <v>406</v>
      </c>
    </row>
    <row r="28" spans="2:9" outlineLevel="1" x14ac:dyDescent="0.35">
      <c r="B28" s="13" t="s">
        <v>696</v>
      </c>
      <c r="C28" s="13" t="s">
        <v>22</v>
      </c>
    </row>
    <row r="29" spans="2:9" outlineLevel="1" x14ac:dyDescent="0.35">
      <c r="B29" s="13" t="s">
        <v>696</v>
      </c>
      <c r="C29" s="13" t="s">
        <v>21</v>
      </c>
    </row>
    <row r="30" spans="2:9" outlineLevel="1" x14ac:dyDescent="0.35">
      <c r="B30" s="13" t="s">
        <v>16</v>
      </c>
      <c r="C30" s="13" t="s">
        <v>180</v>
      </c>
    </row>
    <row r="31" spans="2:9" outlineLevel="1" x14ac:dyDescent="0.35">
      <c r="B31" s="13" t="str">
        <f>B30</f>
        <v>HSE</v>
      </c>
      <c r="C31" s="13" t="s">
        <v>181</v>
      </c>
    </row>
    <row r="32" spans="2:9" outlineLevel="1" x14ac:dyDescent="0.35">
      <c r="B32" s="13" t="s">
        <v>328</v>
      </c>
      <c r="C32" s="13" t="s">
        <v>128</v>
      </c>
    </row>
    <row r="33" spans="2:3" outlineLevel="1" x14ac:dyDescent="0.35">
      <c r="B33" s="13" t="s">
        <v>328</v>
      </c>
      <c r="C33" s="13" t="s">
        <v>24</v>
      </c>
    </row>
    <row r="34" spans="2:3" outlineLevel="1" x14ac:dyDescent="0.35">
      <c r="B34" s="13" t="s">
        <v>602</v>
      </c>
      <c r="C34" s="13" t="s">
        <v>135</v>
      </c>
    </row>
    <row r="35" spans="2:3" outlineLevel="1" x14ac:dyDescent="0.35">
      <c r="B35" s="13" t="s">
        <v>602</v>
      </c>
      <c r="C35" s="13" t="s">
        <v>17</v>
      </c>
    </row>
    <row r="36" spans="2:3" outlineLevel="1" x14ac:dyDescent="0.35">
      <c r="B36" s="13" t="s">
        <v>602</v>
      </c>
      <c r="C36" s="13" t="s">
        <v>14</v>
      </c>
    </row>
    <row r="37" spans="2:3" outlineLevel="1" x14ac:dyDescent="0.35">
      <c r="B37" s="13" t="s">
        <v>602</v>
      </c>
      <c r="C37" s="13" t="s">
        <v>15</v>
      </c>
    </row>
    <row r="38" spans="2:3" outlineLevel="1" x14ac:dyDescent="0.35">
      <c r="B38" s="13" t="s">
        <v>602</v>
      </c>
      <c r="C38" s="13" t="s">
        <v>619</v>
      </c>
    </row>
    <row r="39" spans="2:3" outlineLevel="1" x14ac:dyDescent="0.35">
      <c r="B39" s="13" t="s">
        <v>602</v>
      </c>
      <c r="C39" s="13" t="s">
        <v>1220</v>
      </c>
    </row>
    <row r="40" spans="2:3" outlineLevel="1" x14ac:dyDescent="0.35">
      <c r="B40" s="13" t="s">
        <v>603</v>
      </c>
      <c r="C40" s="13" t="s">
        <v>612</v>
      </c>
    </row>
    <row r="41" spans="2:3" outlineLevel="1" x14ac:dyDescent="0.35">
      <c r="B41" s="13" t="s">
        <v>603</v>
      </c>
      <c r="C41" s="13" t="s">
        <v>1190</v>
      </c>
    </row>
    <row r="42" spans="2:3" outlineLevel="1" x14ac:dyDescent="0.35">
      <c r="B42" s="13" t="s">
        <v>603</v>
      </c>
      <c r="C42" s="13" t="s">
        <v>1191</v>
      </c>
    </row>
    <row r="43" spans="2:3" outlineLevel="1" x14ac:dyDescent="0.35">
      <c r="B43" s="13" t="s">
        <v>1192</v>
      </c>
      <c r="C43" s="13" t="s">
        <v>905</v>
      </c>
    </row>
    <row r="44" spans="2:3" outlineLevel="1" x14ac:dyDescent="0.35">
      <c r="B44" s="13" t="s">
        <v>1192</v>
      </c>
      <c r="C44" s="13" t="s">
        <v>331</v>
      </c>
    </row>
    <row r="45" spans="2:3" outlineLevel="1" x14ac:dyDescent="0.35">
      <c r="B45" s="13" t="s">
        <v>129</v>
      </c>
      <c r="C45" s="13" t="s">
        <v>1221</v>
      </c>
    </row>
    <row r="46" spans="2:3" outlineLevel="1" x14ac:dyDescent="0.35">
      <c r="B46" s="13" t="s">
        <v>129</v>
      </c>
      <c r="C46" s="13" t="s">
        <v>697</v>
      </c>
    </row>
    <row r="47" spans="2:3" outlineLevel="1" x14ac:dyDescent="0.35">
      <c r="B47" s="13" t="s">
        <v>129</v>
      </c>
      <c r="C47" s="13" t="s">
        <v>1222</v>
      </c>
    </row>
    <row r="48" spans="2:3" outlineLevel="1" x14ac:dyDescent="0.35">
      <c r="B48" s="13" t="s">
        <v>329</v>
      </c>
      <c r="C48" s="13" t="s">
        <v>1166</v>
      </c>
    </row>
    <row r="49" spans="2:12" outlineLevel="1" x14ac:dyDescent="0.35">
      <c r="B49" s="13" t="s">
        <v>329</v>
      </c>
      <c r="C49" s="13" t="s">
        <v>18</v>
      </c>
    </row>
    <row r="50" spans="2:12" outlineLevel="1" x14ac:dyDescent="0.35">
      <c r="B50" s="13" t="s">
        <v>329</v>
      </c>
      <c r="C50" s="13" t="s">
        <v>19</v>
      </c>
    </row>
    <row r="51" spans="2:12" outlineLevel="1" x14ac:dyDescent="0.35">
      <c r="B51" s="13" t="s">
        <v>329</v>
      </c>
      <c r="C51" s="13" t="s">
        <v>20</v>
      </c>
    </row>
    <row r="52" spans="2:12" outlineLevel="1" x14ac:dyDescent="0.35">
      <c r="B52" s="19" t="s">
        <v>131</v>
      </c>
      <c r="C52" s="13" t="s">
        <v>330</v>
      </c>
    </row>
    <row r="53" spans="2:12" outlineLevel="1" x14ac:dyDescent="0.35">
      <c r="B53" s="13" t="s">
        <v>131</v>
      </c>
      <c r="C53" s="13" t="s">
        <v>25</v>
      </c>
    </row>
    <row r="54" spans="2:12" outlineLevel="1" x14ac:dyDescent="0.35">
      <c r="B54" s="13" t="s">
        <v>131</v>
      </c>
      <c r="C54" s="13" t="s">
        <v>26</v>
      </c>
    </row>
    <row r="55" spans="2:12" outlineLevel="1" x14ac:dyDescent="0.35"/>
    <row r="56" spans="2:12" s="81" customFormat="1" x14ac:dyDescent="0.35">
      <c r="B56" s="80" t="s">
        <v>1158</v>
      </c>
      <c r="H56" s="87"/>
      <c r="I56" s="87"/>
    </row>
    <row r="58" spans="2:12" outlineLevel="1" x14ac:dyDescent="0.35">
      <c r="B58" s="83" t="s">
        <v>127</v>
      </c>
      <c r="C58" s="83" t="s">
        <v>689</v>
      </c>
      <c r="D58" s="83" t="s">
        <v>1159</v>
      </c>
      <c r="E58" s="83" t="s">
        <v>1160</v>
      </c>
      <c r="H58" s="83" t="s">
        <v>1161</v>
      </c>
      <c r="I58" s="83" t="s">
        <v>1162</v>
      </c>
      <c r="J58" s="83" t="s">
        <v>689</v>
      </c>
      <c r="L58" s="83" t="s">
        <v>1159</v>
      </c>
    </row>
    <row r="59" spans="2:12" outlineLevel="1" x14ac:dyDescent="0.35">
      <c r="B59" s="86" t="s">
        <v>614</v>
      </c>
      <c r="C59" s="86" t="s">
        <v>614</v>
      </c>
      <c r="D59" s="86" t="s">
        <v>346</v>
      </c>
      <c r="E59" s="86" t="s">
        <v>347</v>
      </c>
      <c r="H59" s="88" t="s">
        <v>614</v>
      </c>
      <c r="I59" s="88" t="str">
        <f>IF(MID(D59,6,2)="PP",_xlfn.CONCAT(H59,RIGHT(D59,2)),IF(MID(D59,6,2)="SU",RIGHT(D59,5),_xlfn.CONCAT(H59,"01",RIGHT(D59,1))))</f>
        <v>SMS01</v>
      </c>
      <c r="J59" s="86" t="str">
        <f>C59</f>
        <v>SMS</v>
      </c>
      <c r="L59" s="86" t="str">
        <f>D59</f>
        <v>10101PP001</v>
      </c>
    </row>
    <row r="60" spans="2:12" outlineLevel="1" x14ac:dyDescent="0.35">
      <c r="B60" s="86" t="s">
        <v>614</v>
      </c>
      <c r="C60" s="86" t="s">
        <v>614</v>
      </c>
      <c r="D60" s="86" t="s">
        <v>348</v>
      </c>
      <c r="E60" s="86" t="s">
        <v>349</v>
      </c>
      <c r="H60" s="88" t="s">
        <v>614</v>
      </c>
      <c r="I60" s="88" t="str">
        <f t="shared" ref="I60:I84" si="0">IF(MID(D60,6,2)="PP",_xlfn.CONCAT(H60,RIGHT(D60,2)),IF(MID(D60,6,2)="SU",RIGHT(D60,5),_xlfn.CONCAT(H60,"01",RIGHT(D60,1))))</f>
        <v>SMS02</v>
      </c>
      <c r="J60" s="86" t="str">
        <f t="shared" ref="J60:J123" si="1">C60</f>
        <v>SMS</v>
      </c>
      <c r="L60" s="86" t="str">
        <f t="shared" ref="L60:L123" si="2">D60</f>
        <v>10101PP002</v>
      </c>
    </row>
    <row r="61" spans="2:12" outlineLevel="1" x14ac:dyDescent="0.35">
      <c r="B61" s="86" t="s">
        <v>614</v>
      </c>
      <c r="C61" s="86" t="s">
        <v>614</v>
      </c>
      <c r="D61" s="86" t="s">
        <v>350</v>
      </c>
      <c r="E61" s="86" t="s">
        <v>351</v>
      </c>
      <c r="H61" s="88" t="s">
        <v>614</v>
      </c>
      <c r="I61" s="88" t="str">
        <f t="shared" si="0"/>
        <v>SMS03</v>
      </c>
      <c r="J61" s="86" t="str">
        <f t="shared" si="1"/>
        <v>SMS</v>
      </c>
      <c r="L61" s="86" t="str">
        <f t="shared" si="2"/>
        <v>10101PP003</v>
      </c>
    </row>
    <row r="62" spans="2:12" outlineLevel="1" x14ac:dyDescent="0.35">
      <c r="B62" s="86" t="s">
        <v>614</v>
      </c>
      <c r="C62" s="86" t="s">
        <v>614</v>
      </c>
      <c r="D62" s="86" t="s">
        <v>352</v>
      </c>
      <c r="E62" s="86" t="s">
        <v>353</v>
      </c>
      <c r="H62" s="88" t="s">
        <v>614</v>
      </c>
      <c r="I62" s="88" t="str">
        <f t="shared" si="0"/>
        <v>SMS04</v>
      </c>
      <c r="J62" s="86" t="str">
        <f t="shared" si="1"/>
        <v>SMS</v>
      </c>
      <c r="L62" s="86" t="str">
        <f t="shared" si="2"/>
        <v>10101PP004</v>
      </c>
    </row>
    <row r="63" spans="2:12" outlineLevel="1" x14ac:dyDescent="0.35">
      <c r="B63" s="86" t="s">
        <v>614</v>
      </c>
      <c r="C63" s="86" t="s">
        <v>614</v>
      </c>
      <c r="D63" s="86" t="s">
        <v>354</v>
      </c>
      <c r="E63" s="86" t="s">
        <v>355</v>
      </c>
      <c r="H63" s="88" t="s">
        <v>614</v>
      </c>
      <c r="I63" s="88" t="str">
        <f t="shared" si="0"/>
        <v>SMS05</v>
      </c>
      <c r="J63" s="86" t="str">
        <f t="shared" si="1"/>
        <v>SMS</v>
      </c>
      <c r="L63" s="86" t="str">
        <f t="shared" si="2"/>
        <v>10101PP005</v>
      </c>
    </row>
    <row r="64" spans="2:12" outlineLevel="1" x14ac:dyDescent="0.35">
      <c r="B64" s="86" t="s">
        <v>614</v>
      </c>
      <c r="C64" s="86" t="s">
        <v>614</v>
      </c>
      <c r="D64" s="86" t="s">
        <v>356</v>
      </c>
      <c r="E64" s="86" t="s">
        <v>357</v>
      </c>
      <c r="H64" s="88" t="s">
        <v>614</v>
      </c>
      <c r="I64" s="88" t="str">
        <f t="shared" si="0"/>
        <v>SMS06</v>
      </c>
      <c r="J64" s="86" t="str">
        <f t="shared" si="1"/>
        <v>SMS</v>
      </c>
      <c r="L64" s="86" t="str">
        <f t="shared" si="2"/>
        <v>10101PP006</v>
      </c>
    </row>
    <row r="65" spans="2:12" outlineLevel="1" x14ac:dyDescent="0.35">
      <c r="B65" s="86" t="s">
        <v>614</v>
      </c>
      <c r="C65" s="86" t="s">
        <v>614</v>
      </c>
      <c r="D65" s="86" t="s">
        <v>358</v>
      </c>
      <c r="E65" s="86" t="s">
        <v>359</v>
      </c>
      <c r="H65" s="88" t="s">
        <v>614</v>
      </c>
      <c r="I65" s="88" t="str">
        <f t="shared" si="0"/>
        <v>SMS07</v>
      </c>
      <c r="J65" s="86" t="str">
        <f t="shared" si="1"/>
        <v>SMS</v>
      </c>
      <c r="L65" s="86" t="str">
        <f t="shared" si="2"/>
        <v>10101PP007</v>
      </c>
    </row>
    <row r="66" spans="2:12" outlineLevel="1" x14ac:dyDescent="0.35">
      <c r="B66" s="86" t="s">
        <v>611</v>
      </c>
      <c r="C66" s="86" t="s">
        <v>611</v>
      </c>
      <c r="D66" s="86" t="s">
        <v>360</v>
      </c>
      <c r="E66" s="86" t="s">
        <v>651</v>
      </c>
      <c r="H66" s="88" t="s">
        <v>614</v>
      </c>
      <c r="I66" s="88" t="str">
        <f>IF(MID(D66,6,2)="PP",_xlfn.CONCAT(H66,RIGHT(D66,2)),IF(MID(D66,6,2)="SU",RIGHT(D66,5),_xlfn.CONCAT(H66,"1",RIGHT(D66,1))))</f>
        <v>SMS11</v>
      </c>
      <c r="J66" s="86" t="str">
        <f t="shared" si="1"/>
        <v>ELECTRICAL</v>
      </c>
      <c r="L66" s="86" t="str">
        <f t="shared" si="2"/>
        <v>10101PS001</v>
      </c>
    </row>
    <row r="67" spans="2:12" outlineLevel="1" x14ac:dyDescent="0.35">
      <c r="B67" s="86" t="s">
        <v>615</v>
      </c>
      <c r="C67" s="86" t="s">
        <v>615</v>
      </c>
      <c r="D67" s="86" t="s">
        <v>361</v>
      </c>
      <c r="E67" s="86" t="s">
        <v>652</v>
      </c>
      <c r="H67" s="88" t="s">
        <v>614</v>
      </c>
      <c r="I67" s="88" t="str">
        <f t="shared" ref="I67:I73" si="3">IF(MID(D67,6,2)="PP",_xlfn.CONCAT(H67,RIGHT(D67,2)),IF(MID(D67,6,2)="SU",RIGHT(D67,5),_xlfn.CONCAT(H67,"1",RIGHT(D67,1))))</f>
        <v>SMS12</v>
      </c>
      <c r="J67" s="86" t="str">
        <f t="shared" si="1"/>
        <v>MECHANICAL</v>
      </c>
      <c r="L67" s="86" t="str">
        <f t="shared" si="2"/>
        <v>10101PS002</v>
      </c>
    </row>
    <row r="68" spans="2:12" outlineLevel="1" x14ac:dyDescent="0.35">
      <c r="B68" s="86" t="s">
        <v>380</v>
      </c>
      <c r="C68" s="86" t="s">
        <v>380</v>
      </c>
      <c r="D68" s="86" t="s">
        <v>362</v>
      </c>
      <c r="E68" s="86" t="s">
        <v>653</v>
      </c>
      <c r="H68" s="88" t="s">
        <v>614</v>
      </c>
      <c r="I68" s="88" t="str">
        <f t="shared" si="3"/>
        <v>SMS13</v>
      </c>
      <c r="J68" s="86" t="str">
        <f t="shared" si="1"/>
        <v>PPIC</v>
      </c>
      <c r="L68" s="86" t="str">
        <f t="shared" si="2"/>
        <v>10101PS003</v>
      </c>
    </row>
    <row r="69" spans="2:12" outlineLevel="1" x14ac:dyDescent="0.35">
      <c r="B69" s="86" t="s">
        <v>442</v>
      </c>
      <c r="C69" s="86" t="s">
        <v>442</v>
      </c>
      <c r="D69" s="86" t="s">
        <v>363</v>
      </c>
      <c r="E69" s="86" t="s">
        <v>654</v>
      </c>
      <c r="H69" s="88" t="s">
        <v>614</v>
      </c>
      <c r="I69" s="88" t="str">
        <f t="shared" si="3"/>
        <v>SMS14</v>
      </c>
      <c r="J69" s="86" t="str">
        <f t="shared" si="1"/>
        <v>QAQC</v>
      </c>
      <c r="L69" s="86" t="str">
        <f t="shared" si="2"/>
        <v>10101PS004</v>
      </c>
    </row>
    <row r="70" spans="2:12" outlineLevel="1" x14ac:dyDescent="0.35">
      <c r="B70" s="86" t="s">
        <v>614</v>
      </c>
      <c r="C70" s="86" t="s">
        <v>614</v>
      </c>
      <c r="D70" s="86" t="s">
        <v>364</v>
      </c>
      <c r="E70" s="86" t="s">
        <v>655</v>
      </c>
      <c r="H70" s="88" t="s">
        <v>614</v>
      </c>
      <c r="I70" s="88" t="str">
        <f t="shared" si="3"/>
        <v>SMS15</v>
      </c>
      <c r="J70" s="86" t="str">
        <f t="shared" si="1"/>
        <v>SMS</v>
      </c>
      <c r="L70" s="86" t="str">
        <f t="shared" si="2"/>
        <v>10101PS005</v>
      </c>
    </row>
    <row r="71" spans="2:12" outlineLevel="1" x14ac:dyDescent="0.35">
      <c r="B71" s="86" t="s">
        <v>614</v>
      </c>
      <c r="C71" s="86" t="s">
        <v>614</v>
      </c>
      <c r="D71" s="86" t="s">
        <v>365</v>
      </c>
      <c r="E71" s="86" t="s">
        <v>656</v>
      </c>
      <c r="H71" s="88" t="s">
        <v>614</v>
      </c>
      <c r="I71" s="88" t="str">
        <f t="shared" si="3"/>
        <v>SMS16</v>
      </c>
      <c r="J71" s="86" t="str">
        <f t="shared" si="1"/>
        <v>SMS</v>
      </c>
      <c r="L71" s="86" t="str">
        <f t="shared" si="2"/>
        <v>10101PS006</v>
      </c>
    </row>
    <row r="72" spans="2:12" outlineLevel="1" x14ac:dyDescent="0.35">
      <c r="B72" s="86" t="s">
        <v>614</v>
      </c>
      <c r="C72" s="86" t="s">
        <v>614</v>
      </c>
      <c r="D72" s="86" t="s">
        <v>366</v>
      </c>
      <c r="E72" s="86" t="s">
        <v>657</v>
      </c>
      <c r="H72" s="88" t="s">
        <v>614</v>
      </c>
      <c r="I72" s="88" t="str">
        <f t="shared" si="3"/>
        <v>SMS17</v>
      </c>
      <c r="J72" s="86" t="str">
        <f t="shared" si="1"/>
        <v>SMS</v>
      </c>
      <c r="L72" s="86" t="str">
        <f t="shared" si="2"/>
        <v>10101PS007</v>
      </c>
    </row>
    <row r="73" spans="2:12" outlineLevel="1" x14ac:dyDescent="0.35">
      <c r="B73" s="86" t="s">
        <v>614</v>
      </c>
      <c r="C73" s="86" t="s">
        <v>614</v>
      </c>
      <c r="D73" s="86" t="s">
        <v>367</v>
      </c>
      <c r="E73" s="86" t="s">
        <v>658</v>
      </c>
      <c r="H73" s="88" t="s">
        <v>614</v>
      </c>
      <c r="I73" s="88" t="str">
        <f t="shared" si="3"/>
        <v>SMS18</v>
      </c>
      <c r="J73" s="86" t="str">
        <f t="shared" si="1"/>
        <v>SMS</v>
      </c>
      <c r="L73" s="86" t="str">
        <f t="shared" si="2"/>
        <v>10101PS008</v>
      </c>
    </row>
    <row r="74" spans="2:12" outlineLevel="1" x14ac:dyDescent="0.35">
      <c r="B74" s="86" t="s">
        <v>404</v>
      </c>
      <c r="C74" s="86" t="s">
        <v>404</v>
      </c>
      <c r="D74" s="86" t="s">
        <v>368</v>
      </c>
      <c r="E74" s="86" t="s">
        <v>369</v>
      </c>
      <c r="H74" s="88" t="s">
        <v>404</v>
      </c>
      <c r="I74" s="88" t="str">
        <f>IF(MID(D74,6,2)="PP",_xlfn.CONCAT(H74,RIGHT(D74,3)),IF(MID(D74,6,2)="SU",RIGHT(D74,5),_xlfn.CONCAT(H74,"01",RIGHT(D74,1))))</f>
        <v>BP001</v>
      </c>
      <c r="J74" s="86" t="str">
        <f t="shared" si="1"/>
        <v>BP</v>
      </c>
      <c r="L74" s="86" t="str">
        <f t="shared" si="2"/>
        <v>10103PP001</v>
      </c>
    </row>
    <row r="75" spans="2:12" outlineLevel="1" x14ac:dyDescent="0.35">
      <c r="B75" s="86" t="s">
        <v>404</v>
      </c>
      <c r="C75" s="86" t="s">
        <v>404</v>
      </c>
      <c r="D75" s="86" t="s">
        <v>370</v>
      </c>
      <c r="E75" s="86" t="s">
        <v>371</v>
      </c>
      <c r="H75" s="88" t="s">
        <v>404</v>
      </c>
      <c r="I75" s="88" t="str">
        <f t="shared" ref="I75:I76" si="4">IF(MID(D75,6,2)="PP",_xlfn.CONCAT(H75,RIGHT(D75,3)),IF(MID(D75,6,2)="SU",RIGHT(D75,5),_xlfn.CONCAT(H75,"01",RIGHT(D75,1))))</f>
        <v>BP009</v>
      </c>
      <c r="J75" s="86" t="str">
        <f t="shared" si="1"/>
        <v>BP</v>
      </c>
      <c r="L75" s="86" t="str">
        <f t="shared" si="2"/>
        <v>10103PP009</v>
      </c>
    </row>
    <row r="76" spans="2:12" outlineLevel="1" x14ac:dyDescent="0.35">
      <c r="B76" s="86" t="s">
        <v>404</v>
      </c>
      <c r="C76" s="86" t="s">
        <v>404</v>
      </c>
      <c r="D76" s="86" t="s">
        <v>372</v>
      </c>
      <c r="E76" s="86" t="s">
        <v>1163</v>
      </c>
      <c r="H76" s="88" t="s">
        <v>404</v>
      </c>
      <c r="I76" s="88" t="str">
        <f t="shared" si="4"/>
        <v>BP010</v>
      </c>
      <c r="J76" s="86" t="str">
        <f t="shared" si="1"/>
        <v>BP</v>
      </c>
      <c r="L76" s="86" t="str">
        <f t="shared" si="2"/>
        <v>10103PP010</v>
      </c>
    </row>
    <row r="77" spans="2:12" outlineLevel="1" x14ac:dyDescent="0.35">
      <c r="B77" s="86" t="s">
        <v>611</v>
      </c>
      <c r="C77" s="86" t="s">
        <v>611</v>
      </c>
      <c r="D77" s="86" t="s">
        <v>373</v>
      </c>
      <c r="E77" s="86" t="s">
        <v>666</v>
      </c>
      <c r="H77" s="88" t="s">
        <v>404</v>
      </c>
      <c r="I77" s="88" t="str">
        <f>IF(MID(D77,6,2)="PP",_xlfn.CONCAT(H77,RIGHT(D77,2)),IF(MID(D77,6,2)="SU",RIGHT(D77,5),_xlfn.CONCAT(H77,"01",RIGHT(D77,1))))</f>
        <v>BP011</v>
      </c>
      <c r="J77" s="86" t="str">
        <f t="shared" si="1"/>
        <v>ELECTRICAL</v>
      </c>
      <c r="L77" s="86" t="str">
        <f t="shared" si="2"/>
        <v>10103PS001</v>
      </c>
    </row>
    <row r="78" spans="2:12" outlineLevel="1" x14ac:dyDescent="0.35">
      <c r="B78" s="86" t="s">
        <v>615</v>
      </c>
      <c r="C78" s="86" t="s">
        <v>615</v>
      </c>
      <c r="D78" s="86" t="s">
        <v>374</v>
      </c>
      <c r="E78" s="86" t="s">
        <v>667</v>
      </c>
      <c r="H78" s="88" t="s">
        <v>404</v>
      </c>
      <c r="I78" s="88" t="str">
        <f t="shared" si="0"/>
        <v>BP012</v>
      </c>
      <c r="J78" s="86" t="str">
        <f t="shared" si="1"/>
        <v>MECHANICAL</v>
      </c>
      <c r="L78" s="86" t="str">
        <f t="shared" si="2"/>
        <v>10103PS002</v>
      </c>
    </row>
    <row r="79" spans="2:12" outlineLevel="1" x14ac:dyDescent="0.35">
      <c r="B79" s="86" t="s">
        <v>380</v>
      </c>
      <c r="C79" s="86" t="s">
        <v>380</v>
      </c>
      <c r="D79" s="86" t="s">
        <v>375</v>
      </c>
      <c r="E79" s="86" t="s">
        <v>668</v>
      </c>
      <c r="H79" s="88" t="s">
        <v>404</v>
      </c>
      <c r="I79" s="88" t="str">
        <f t="shared" si="0"/>
        <v>BP013</v>
      </c>
      <c r="J79" s="86" t="str">
        <f t="shared" si="1"/>
        <v>PPIC</v>
      </c>
      <c r="L79" s="86" t="str">
        <f t="shared" si="2"/>
        <v>10103PS003</v>
      </c>
    </row>
    <row r="80" spans="2:12" outlineLevel="1" x14ac:dyDescent="0.35">
      <c r="B80" s="86" t="s">
        <v>442</v>
      </c>
      <c r="C80" s="86" t="s">
        <v>442</v>
      </c>
      <c r="D80" s="86" t="s">
        <v>376</v>
      </c>
      <c r="E80" s="86" t="s">
        <v>669</v>
      </c>
      <c r="H80" s="88" t="s">
        <v>404</v>
      </c>
      <c r="I80" s="88" t="str">
        <f t="shared" si="0"/>
        <v>BP014</v>
      </c>
      <c r="J80" s="86" t="str">
        <f t="shared" si="1"/>
        <v>QAQC</v>
      </c>
      <c r="L80" s="86" t="str">
        <f t="shared" si="2"/>
        <v>10103PS004</v>
      </c>
    </row>
    <row r="81" spans="2:12" outlineLevel="1" x14ac:dyDescent="0.35">
      <c r="B81" s="86" t="s">
        <v>404</v>
      </c>
      <c r="C81" s="86" t="s">
        <v>404</v>
      </c>
      <c r="D81" s="86" t="s">
        <v>377</v>
      </c>
      <c r="E81" s="86" t="s">
        <v>378</v>
      </c>
      <c r="H81" s="88" t="s">
        <v>404</v>
      </c>
      <c r="I81" s="88" t="str">
        <f t="shared" si="0"/>
        <v>BP016</v>
      </c>
      <c r="J81" s="86" t="str">
        <f t="shared" si="1"/>
        <v>BP</v>
      </c>
      <c r="L81" s="86" t="str">
        <f t="shared" si="2"/>
        <v>10103PS006</v>
      </c>
    </row>
    <row r="82" spans="2:12" outlineLevel="1" x14ac:dyDescent="0.35">
      <c r="B82" s="86" t="s">
        <v>136</v>
      </c>
      <c r="C82" s="86" t="s">
        <v>400</v>
      </c>
      <c r="D82" s="86" t="s">
        <v>338</v>
      </c>
      <c r="E82" s="86" t="s">
        <v>659</v>
      </c>
      <c r="H82" s="88" t="s">
        <v>400</v>
      </c>
      <c r="I82" s="88" t="str">
        <f t="shared" si="0"/>
        <v>LSM01</v>
      </c>
      <c r="J82" s="86" t="str">
        <f t="shared" si="1"/>
        <v>LSM</v>
      </c>
      <c r="L82" s="86" t="str">
        <f t="shared" si="2"/>
        <v>10131PP001</v>
      </c>
    </row>
    <row r="83" spans="2:12" outlineLevel="1" x14ac:dyDescent="0.35">
      <c r="B83" s="86" t="s">
        <v>400</v>
      </c>
      <c r="C83" s="86" t="s">
        <v>400</v>
      </c>
      <c r="D83" s="86" t="s">
        <v>339</v>
      </c>
      <c r="E83" s="86" t="s">
        <v>660</v>
      </c>
      <c r="H83" s="88" t="s">
        <v>400</v>
      </c>
      <c r="I83" s="88" t="str">
        <f t="shared" si="0"/>
        <v>LSM09</v>
      </c>
      <c r="J83" s="86" t="str">
        <f t="shared" si="1"/>
        <v>LSM</v>
      </c>
      <c r="L83" s="86" t="str">
        <f t="shared" si="2"/>
        <v>10131PP009</v>
      </c>
    </row>
    <row r="84" spans="2:12" outlineLevel="1" x14ac:dyDescent="0.35">
      <c r="B84" s="261" t="s">
        <v>400</v>
      </c>
      <c r="C84" s="261" t="s">
        <v>400</v>
      </c>
      <c r="D84" s="261" t="s">
        <v>340</v>
      </c>
      <c r="E84" s="261" t="s">
        <v>1177</v>
      </c>
      <c r="F84" s="84" t="s">
        <v>1189</v>
      </c>
      <c r="H84" s="88" t="s">
        <v>400</v>
      </c>
      <c r="I84" s="88" t="str">
        <f t="shared" si="0"/>
        <v>LSM10</v>
      </c>
      <c r="J84" s="86" t="str">
        <f t="shared" si="1"/>
        <v>LSM</v>
      </c>
      <c r="L84" s="86" t="str">
        <f t="shared" si="2"/>
        <v>10131PP010</v>
      </c>
    </row>
    <row r="85" spans="2:12" outlineLevel="1" x14ac:dyDescent="0.35">
      <c r="B85" s="86" t="s">
        <v>611</v>
      </c>
      <c r="C85" s="86" t="s">
        <v>611</v>
      </c>
      <c r="D85" s="86" t="s">
        <v>341</v>
      </c>
      <c r="E85" s="86" t="s">
        <v>661</v>
      </c>
      <c r="H85" s="88" t="s">
        <v>400</v>
      </c>
      <c r="I85" s="88" t="str">
        <f>IF(MID(D85,6,2)="PP",_xlfn.CONCAT(H85,RIGHT(D85,2)),IF(MID(D85,6,2)="SU",RIGHT(D85,5),_xlfn.CONCAT(H85,"1",RIGHT(D85,1))))</f>
        <v>LSM11</v>
      </c>
      <c r="J85" s="86" t="str">
        <f t="shared" si="1"/>
        <v>ELECTRICAL</v>
      </c>
      <c r="L85" s="86" t="str">
        <f t="shared" si="2"/>
        <v>10131PS001</v>
      </c>
    </row>
    <row r="86" spans="2:12" outlineLevel="1" x14ac:dyDescent="0.35">
      <c r="B86" s="86" t="s">
        <v>615</v>
      </c>
      <c r="C86" s="86" t="s">
        <v>615</v>
      </c>
      <c r="D86" s="86" t="s">
        <v>342</v>
      </c>
      <c r="E86" s="86" t="s">
        <v>662</v>
      </c>
      <c r="H86" s="88" t="s">
        <v>400</v>
      </c>
      <c r="I86" s="88" t="str">
        <f>IF(MID(D86,6,2)="PP",_xlfn.CONCAT(H86,RIGHT(D86,2)),IF(MID(D86,6,2)="SU",RIGHT(D86,5),_xlfn.CONCAT(H86,"1",RIGHT(D86,1))))</f>
        <v>LSM12</v>
      </c>
      <c r="J86" s="86" t="str">
        <f t="shared" si="1"/>
        <v>MECHANICAL</v>
      </c>
      <c r="L86" s="86" t="str">
        <f t="shared" si="2"/>
        <v>10131PS002</v>
      </c>
    </row>
    <row r="87" spans="2:12" outlineLevel="1" x14ac:dyDescent="0.35">
      <c r="B87" s="86" t="s">
        <v>380</v>
      </c>
      <c r="C87" s="86" t="s">
        <v>380</v>
      </c>
      <c r="D87" s="86" t="s">
        <v>343</v>
      </c>
      <c r="E87" s="86" t="s">
        <v>663</v>
      </c>
      <c r="H87" s="88" t="s">
        <v>400</v>
      </c>
      <c r="I87" s="88" t="str">
        <f>IF(MID(D87,6,2)="PP",_xlfn.CONCAT(H87,RIGHT(D87,2)),IF(MID(D87,6,2)="SU",RIGHT(D87,5),_xlfn.CONCAT(H87,"1",RIGHT(D87,1))))</f>
        <v>LSM13</v>
      </c>
      <c r="J87" s="86" t="str">
        <f t="shared" si="1"/>
        <v>PPIC</v>
      </c>
      <c r="L87" s="86" t="str">
        <f t="shared" si="2"/>
        <v>10131PS003</v>
      </c>
    </row>
    <row r="88" spans="2:12" outlineLevel="1" x14ac:dyDescent="0.35">
      <c r="B88" s="86" t="s">
        <v>442</v>
      </c>
      <c r="C88" s="86" t="s">
        <v>442</v>
      </c>
      <c r="D88" s="86" t="s">
        <v>344</v>
      </c>
      <c r="E88" s="86" t="s">
        <v>664</v>
      </c>
      <c r="H88" s="88" t="s">
        <v>400</v>
      </c>
      <c r="I88" s="88" t="str">
        <f>IF(MID(D88,6,2)="PP",_xlfn.CONCAT(H88,RIGHT(D88,2)),IF(MID(D88,6,2)="SU",RIGHT(D88,5),_xlfn.CONCAT(H88,"1",RIGHT(D88,1))))</f>
        <v>LSM14</v>
      </c>
      <c r="J88" s="86" t="str">
        <f t="shared" si="1"/>
        <v>QAQC</v>
      </c>
      <c r="L88" s="86" t="str">
        <f t="shared" si="2"/>
        <v>10131PS004</v>
      </c>
    </row>
    <row r="89" spans="2:12" outlineLevel="1" x14ac:dyDescent="0.35">
      <c r="B89" s="86" t="s">
        <v>400</v>
      </c>
      <c r="C89" s="86" t="s">
        <v>400</v>
      </c>
      <c r="D89" s="86" t="s">
        <v>345</v>
      </c>
      <c r="E89" s="86" t="s">
        <v>665</v>
      </c>
      <c r="H89" s="88" t="s">
        <v>400</v>
      </c>
      <c r="I89" s="88" t="str">
        <f>IF(MID(D89,6,2)="PP",_xlfn.CONCAT(H89,RIGHT(D89,2)),IF(MID(D89,6,2)="SU",RIGHT(D89,5),_xlfn.CONCAT(H89,"1",RIGHT(D89,1))))</f>
        <v>LSM16</v>
      </c>
      <c r="J89" s="86" t="str">
        <f t="shared" si="1"/>
        <v>LSM</v>
      </c>
      <c r="L89" s="86" t="str">
        <f t="shared" si="2"/>
        <v>10131PS006</v>
      </c>
    </row>
    <row r="90" spans="2:12" outlineLevel="1" x14ac:dyDescent="0.35">
      <c r="B90" s="86" t="s">
        <v>406</v>
      </c>
      <c r="C90" s="86" t="s">
        <v>406</v>
      </c>
      <c r="D90" s="86" t="s">
        <v>640</v>
      </c>
      <c r="E90" s="86" t="s">
        <v>406</v>
      </c>
      <c r="H90" s="88" t="s">
        <v>406</v>
      </c>
      <c r="I90" s="88" t="str">
        <f>IF(MID(D90,6,2)="PP",_xlfn.CONCAT(H90,RIGHT(D90,2)),IF(MID(D90,6,2)="SU",RIGHT(D90,5),_xlfn.CONCAT(H90,"01",RIGHT(D90,1))))</f>
        <v>SU001</v>
      </c>
      <c r="J90" s="86" t="str">
        <f t="shared" si="1"/>
        <v>SSC</v>
      </c>
      <c r="L90" s="86" t="str">
        <f t="shared" si="2"/>
        <v>10202SU001</v>
      </c>
    </row>
    <row r="91" spans="2:12" outlineLevel="1" x14ac:dyDescent="0.35">
      <c r="B91" s="86" t="s">
        <v>380</v>
      </c>
      <c r="C91" s="86" t="s">
        <v>380</v>
      </c>
      <c r="D91" s="86" t="s">
        <v>381</v>
      </c>
      <c r="E91" s="86" t="s">
        <v>643</v>
      </c>
      <c r="H91" s="88" t="s">
        <v>380</v>
      </c>
      <c r="I91" s="88" t="str">
        <f>IF(MID(D91,6,2)="PP",_xlfn.CONCAT(H91,RIGHT(D91,2)),IF(MID(D91,6,2)="SU",RIGHT(D91,5),_xlfn.CONCAT(H91,"01",RIGHT(D91,1))))</f>
        <v>SU006</v>
      </c>
      <c r="J91" s="86" t="str">
        <f t="shared" si="1"/>
        <v>PPIC</v>
      </c>
      <c r="L91" s="86" t="str">
        <f t="shared" si="2"/>
        <v>10202SU006</v>
      </c>
    </row>
    <row r="92" spans="2:12" outlineLevel="1" x14ac:dyDescent="0.35">
      <c r="B92" s="86" t="s">
        <v>442</v>
      </c>
      <c r="C92" s="86" t="s">
        <v>442</v>
      </c>
      <c r="D92" s="86" t="s">
        <v>382</v>
      </c>
      <c r="E92" s="86" t="s">
        <v>644</v>
      </c>
      <c r="H92" s="88" t="s">
        <v>442</v>
      </c>
      <c r="I92" s="88" t="str">
        <f>IF(MID(D92,6,2)="PP",_xlfn.CONCAT(H92,RIGHT(D92,2)),IF(MID(D92,6,2)="SU",RIGHT(D92,5),_xlfn.CONCAT(H92,"01",RIGHT(D92,1))))</f>
        <v>SU007</v>
      </c>
      <c r="J92" s="86" t="str">
        <f t="shared" si="1"/>
        <v>QAQC</v>
      </c>
      <c r="L92" s="86" t="str">
        <f t="shared" si="2"/>
        <v>10202SU007</v>
      </c>
    </row>
    <row r="93" spans="2:12" outlineLevel="1" x14ac:dyDescent="0.35">
      <c r="B93" s="86" t="s">
        <v>611</v>
      </c>
      <c r="C93" s="86" t="s">
        <v>611</v>
      </c>
      <c r="D93" s="86" t="s">
        <v>641</v>
      </c>
      <c r="E93" s="86" t="s">
        <v>642</v>
      </c>
      <c r="H93" s="88" t="s">
        <v>379</v>
      </c>
      <c r="I93" s="88" t="str">
        <f>IF(MID(D93,6,2)="PP",_xlfn.CONCAT(H93,RIGHT(D93,2)),IF(MID(D93,6,2)="SU",RIGHT(D93,5),_xlfn.CONCAT(H93,"01",RIGHT(D93,1))))</f>
        <v>SU009</v>
      </c>
      <c r="J93" s="86" t="str">
        <f t="shared" si="1"/>
        <v>ELECTRICAL</v>
      </c>
      <c r="L93" s="86" t="str">
        <f t="shared" si="2"/>
        <v>10202SU009</v>
      </c>
    </row>
    <row r="94" spans="2:12" outlineLevel="1" x14ac:dyDescent="0.35">
      <c r="B94" s="86" t="s">
        <v>618</v>
      </c>
      <c r="C94" s="86" t="s">
        <v>618</v>
      </c>
      <c r="D94" s="86" t="s">
        <v>645</v>
      </c>
      <c r="E94" s="86" t="s">
        <v>646</v>
      </c>
      <c r="H94" s="88" t="s">
        <v>618</v>
      </c>
      <c r="I94" s="88" t="str">
        <f>IF(MID(D94,6,2)="PP",_xlfn.CONCAT(H94,RIGHT(D94,2)),IF(MID(D94,6,2)="SU",RIGHT(D94,5),_xlfn.CONCAT(H94,"01",RIGHT(D94,1))))</f>
        <v>SU017</v>
      </c>
      <c r="J94" s="86" t="str">
        <f t="shared" si="1"/>
        <v>MSN</v>
      </c>
      <c r="L94" s="86" t="str">
        <f t="shared" si="2"/>
        <v>10202SU017</v>
      </c>
    </row>
    <row r="95" spans="2:12" outlineLevel="1" x14ac:dyDescent="0.35">
      <c r="B95" s="86" t="s">
        <v>620</v>
      </c>
      <c r="C95" s="86" t="s">
        <v>607</v>
      </c>
      <c r="D95" s="86" t="s">
        <v>144</v>
      </c>
      <c r="E95" s="86" t="s">
        <v>183</v>
      </c>
      <c r="H95" s="88" t="s">
        <v>1164</v>
      </c>
      <c r="I95" s="88" t="str">
        <f>RIGHT(D95,5)</f>
        <v>BD001</v>
      </c>
      <c r="J95" s="86" t="str">
        <f t="shared" si="1"/>
        <v>Board of Directors</v>
      </c>
      <c r="L95" s="86" t="str">
        <f t="shared" si="2"/>
        <v>10301BD001</v>
      </c>
    </row>
    <row r="96" spans="2:12" outlineLevel="1" x14ac:dyDescent="0.35">
      <c r="B96" s="86" t="s">
        <v>620</v>
      </c>
      <c r="C96" s="86" t="s">
        <v>607</v>
      </c>
      <c r="D96" s="86" t="s">
        <v>621</v>
      </c>
      <c r="E96" s="86" t="s">
        <v>622</v>
      </c>
      <c r="H96" s="88" t="s">
        <v>1164</v>
      </c>
      <c r="I96" s="88" t="str">
        <f t="shared" ref="I96:I144" si="5">RIGHT(D96,5)</f>
        <v>BD002</v>
      </c>
      <c r="J96" s="86" t="str">
        <f t="shared" si="1"/>
        <v>Board of Directors</v>
      </c>
      <c r="L96" s="86" t="str">
        <f t="shared" si="2"/>
        <v>10301BD002</v>
      </c>
    </row>
    <row r="97" spans="2:12" outlineLevel="1" x14ac:dyDescent="0.35">
      <c r="B97" s="86" t="s">
        <v>620</v>
      </c>
      <c r="C97" s="86" t="s">
        <v>14</v>
      </c>
      <c r="D97" s="86" t="s">
        <v>145</v>
      </c>
      <c r="E97" s="86" t="s">
        <v>184</v>
      </c>
      <c r="H97" s="88" t="s">
        <v>1164</v>
      </c>
      <c r="I97" s="88" t="str">
        <f t="shared" si="5"/>
        <v>CP001</v>
      </c>
      <c r="J97" s="86" t="str">
        <f t="shared" si="1"/>
        <v>Corp. Planning &amp; Sustainability</v>
      </c>
      <c r="L97" s="86" t="str">
        <f t="shared" si="2"/>
        <v>10301CP001</v>
      </c>
    </row>
    <row r="98" spans="2:12" outlineLevel="1" x14ac:dyDescent="0.35">
      <c r="B98" s="86" t="s">
        <v>620</v>
      </c>
      <c r="C98" s="86" t="s">
        <v>15</v>
      </c>
      <c r="D98" s="86" t="s">
        <v>150</v>
      </c>
      <c r="E98" s="86" t="s">
        <v>208</v>
      </c>
      <c r="H98" s="88" t="s">
        <v>1164</v>
      </c>
      <c r="I98" s="88" t="str">
        <f t="shared" si="5"/>
        <v>IA001</v>
      </c>
      <c r="J98" s="86" t="str">
        <f t="shared" si="1"/>
        <v>Internal Audit</v>
      </c>
      <c r="L98" s="86" t="str">
        <f t="shared" si="2"/>
        <v>10301IA001</v>
      </c>
    </row>
    <row r="99" spans="2:12" outlineLevel="1" x14ac:dyDescent="0.35">
      <c r="B99" s="261" t="s">
        <v>620</v>
      </c>
      <c r="C99" s="261" t="s">
        <v>619</v>
      </c>
      <c r="D99" s="261"/>
      <c r="E99" s="261" t="s">
        <v>1196</v>
      </c>
      <c r="F99" s="84" t="s">
        <v>1189</v>
      </c>
      <c r="H99" s="88" t="s">
        <v>1164</v>
      </c>
      <c r="I99" s="88" t="str">
        <f t="shared" si="5"/>
        <v/>
      </c>
      <c r="J99" s="86" t="str">
        <f t="shared" si="1"/>
        <v>Sustainability</v>
      </c>
      <c r="L99" s="86">
        <f t="shared" si="2"/>
        <v>0</v>
      </c>
    </row>
    <row r="100" spans="2:12" outlineLevel="1" x14ac:dyDescent="0.35">
      <c r="B100" s="261" t="s">
        <v>620</v>
      </c>
      <c r="C100" s="261" t="s">
        <v>1220</v>
      </c>
      <c r="D100" s="261"/>
      <c r="E100" s="261" t="s">
        <v>1231</v>
      </c>
      <c r="F100" s="84" t="s">
        <v>1189</v>
      </c>
      <c r="H100" s="88" t="s">
        <v>1164</v>
      </c>
      <c r="I100" s="88" t="str">
        <f t="shared" si="5"/>
        <v/>
      </c>
      <c r="J100" s="86" t="str">
        <f t="shared" si="1"/>
        <v>Project Management</v>
      </c>
      <c r="L100" s="86">
        <f t="shared" si="2"/>
        <v>0</v>
      </c>
    </row>
    <row r="101" spans="2:12" outlineLevel="1" x14ac:dyDescent="0.35">
      <c r="B101" s="86" t="s">
        <v>623</v>
      </c>
      <c r="C101" s="86" t="s">
        <v>608</v>
      </c>
      <c r="D101" s="86" t="s">
        <v>152</v>
      </c>
      <c r="E101" s="86" t="s">
        <v>1236</v>
      </c>
      <c r="H101" s="88" t="s">
        <v>1165</v>
      </c>
      <c r="I101" s="88" t="str">
        <f t="shared" si="5"/>
        <v>CL001</v>
      </c>
      <c r="J101" s="86" t="str">
        <f t="shared" si="1"/>
        <v>General Counsel</v>
      </c>
      <c r="L101" s="86" t="str">
        <f t="shared" si="2"/>
        <v>10301CL001</v>
      </c>
    </row>
    <row r="102" spans="2:12" outlineLevel="1" x14ac:dyDescent="0.35">
      <c r="B102" s="86" t="s">
        <v>623</v>
      </c>
      <c r="C102" s="86" t="s">
        <v>612</v>
      </c>
      <c r="D102" s="86" t="s">
        <v>160</v>
      </c>
      <c r="E102" s="86" t="s">
        <v>185</v>
      </c>
      <c r="H102" s="88" t="s">
        <v>1165</v>
      </c>
      <c r="I102" s="88" t="str">
        <f t="shared" si="5"/>
        <v>CS001</v>
      </c>
      <c r="J102" s="86" t="str">
        <f t="shared" si="1"/>
        <v>Compliance &amp; Governance</v>
      </c>
      <c r="L102" s="86" t="str">
        <f t="shared" si="2"/>
        <v>10301CS001</v>
      </c>
    </row>
    <row r="103" spans="2:12" outlineLevel="1" x14ac:dyDescent="0.35">
      <c r="B103" s="86" t="s">
        <v>623</v>
      </c>
      <c r="C103" s="86" t="s">
        <v>616</v>
      </c>
      <c r="D103" s="86" t="s">
        <v>166</v>
      </c>
      <c r="E103" s="86" t="s">
        <v>212</v>
      </c>
      <c r="H103" s="88" t="s">
        <v>1165</v>
      </c>
      <c r="I103" s="88" t="str">
        <f t="shared" si="5"/>
        <v>MS005</v>
      </c>
      <c r="J103" s="86" t="str">
        <f t="shared" si="1"/>
        <v>Permit &amp; Licensing</v>
      </c>
      <c r="L103" s="86" t="str">
        <f t="shared" si="2"/>
        <v>10301MS005</v>
      </c>
    </row>
    <row r="104" spans="2:12" outlineLevel="1" x14ac:dyDescent="0.35">
      <c r="B104" s="86" t="s">
        <v>623</v>
      </c>
      <c r="C104" s="86" t="s">
        <v>616</v>
      </c>
      <c r="D104" s="86" t="s">
        <v>153</v>
      </c>
      <c r="E104" s="86" t="s">
        <v>214</v>
      </c>
      <c r="H104" s="88" t="s">
        <v>1165</v>
      </c>
      <c r="I104" s="88" t="str">
        <f t="shared" si="5"/>
        <v>MS008</v>
      </c>
      <c r="J104" s="86" t="str">
        <f t="shared" si="1"/>
        <v>Permit &amp; Licensing</v>
      </c>
      <c r="L104" s="86" t="str">
        <f t="shared" si="2"/>
        <v>10301MS008</v>
      </c>
    </row>
    <row r="105" spans="2:12" outlineLevel="1" x14ac:dyDescent="0.35">
      <c r="B105" s="86" t="s">
        <v>187</v>
      </c>
      <c r="C105" s="86" t="s">
        <v>20</v>
      </c>
      <c r="D105" s="86" t="s">
        <v>155</v>
      </c>
      <c r="E105" s="86" t="s">
        <v>186</v>
      </c>
      <c r="H105" s="88" t="s">
        <v>187</v>
      </c>
      <c r="I105" s="88" t="str">
        <f t="shared" si="5"/>
        <v>FA001</v>
      </c>
      <c r="J105" s="86" t="str">
        <f t="shared" si="1"/>
        <v>Treasury &amp; Finance</v>
      </c>
      <c r="L105" s="86" t="str">
        <f t="shared" si="2"/>
        <v>10301FA001</v>
      </c>
    </row>
    <row r="106" spans="2:12" outlineLevel="1" x14ac:dyDescent="0.35">
      <c r="B106" s="86" t="s">
        <v>187</v>
      </c>
      <c r="C106" s="86" t="s">
        <v>1166</v>
      </c>
      <c r="D106" s="86" t="s">
        <v>143</v>
      </c>
      <c r="E106" s="86" t="s">
        <v>188</v>
      </c>
      <c r="H106" s="88" t="s">
        <v>187</v>
      </c>
      <c r="I106" s="88" t="str">
        <f t="shared" si="5"/>
        <v>FA002</v>
      </c>
      <c r="J106" s="86" t="str">
        <f t="shared" si="1"/>
        <v>Accounting &amp; Fixed Asset Management</v>
      </c>
      <c r="L106" s="86" t="str">
        <f t="shared" si="2"/>
        <v>10301FA002</v>
      </c>
    </row>
    <row r="107" spans="2:12" outlineLevel="1" x14ac:dyDescent="0.35">
      <c r="B107" s="86" t="s">
        <v>187</v>
      </c>
      <c r="C107" s="86" t="s">
        <v>19</v>
      </c>
      <c r="D107" s="86" t="s">
        <v>154</v>
      </c>
      <c r="E107" s="86" t="s">
        <v>189</v>
      </c>
      <c r="H107" s="88" t="s">
        <v>187</v>
      </c>
      <c r="I107" s="88" t="str">
        <f t="shared" si="5"/>
        <v>FA003</v>
      </c>
      <c r="J107" s="86" t="str">
        <f t="shared" si="1"/>
        <v>Taxation</v>
      </c>
      <c r="L107" s="86" t="str">
        <f t="shared" si="2"/>
        <v>10301FA003</v>
      </c>
    </row>
    <row r="108" spans="2:12" outlineLevel="1" x14ac:dyDescent="0.35">
      <c r="B108" s="86" t="s">
        <v>187</v>
      </c>
      <c r="C108" s="86" t="s">
        <v>18</v>
      </c>
      <c r="D108" s="86" t="s">
        <v>146</v>
      </c>
      <c r="E108" s="86" t="s">
        <v>190</v>
      </c>
      <c r="H108" s="88" t="s">
        <v>187</v>
      </c>
      <c r="I108" s="88" t="str">
        <f t="shared" si="5"/>
        <v>FA004</v>
      </c>
      <c r="J108" s="86" t="str">
        <f t="shared" si="1"/>
        <v>Financial Planning &amp; Analysis</v>
      </c>
      <c r="L108" s="86" t="str">
        <f t="shared" si="2"/>
        <v>10301FA004</v>
      </c>
    </row>
    <row r="109" spans="2:12" outlineLevel="1" x14ac:dyDescent="0.35">
      <c r="B109" s="86" t="s">
        <v>187</v>
      </c>
      <c r="C109" s="86" t="s">
        <v>20</v>
      </c>
      <c r="D109" s="86" t="s">
        <v>162</v>
      </c>
      <c r="E109" s="86" t="s">
        <v>192</v>
      </c>
      <c r="H109" s="88" t="s">
        <v>187</v>
      </c>
      <c r="I109" s="88" t="str">
        <f t="shared" si="5"/>
        <v>FA006</v>
      </c>
      <c r="J109" s="86" t="str">
        <f t="shared" si="1"/>
        <v>Treasury &amp; Finance</v>
      </c>
      <c r="L109" s="86" t="str">
        <f t="shared" si="2"/>
        <v>10301FA006</v>
      </c>
    </row>
    <row r="110" spans="2:12" outlineLevel="1" x14ac:dyDescent="0.35">
      <c r="B110" s="86" t="s">
        <v>187</v>
      </c>
      <c r="C110" s="86" t="s">
        <v>1166</v>
      </c>
      <c r="D110" s="86" t="s">
        <v>156</v>
      </c>
      <c r="E110" s="86" t="s">
        <v>193</v>
      </c>
      <c r="H110" s="88" t="s">
        <v>187</v>
      </c>
      <c r="I110" s="88" t="str">
        <f t="shared" si="5"/>
        <v>FA007</v>
      </c>
      <c r="J110" s="86" t="str">
        <f t="shared" si="1"/>
        <v>Accounting &amp; Fixed Asset Management</v>
      </c>
      <c r="L110" s="86" t="str">
        <f t="shared" si="2"/>
        <v>10301FA007</v>
      </c>
    </row>
    <row r="111" spans="2:12" outlineLevel="1" x14ac:dyDescent="0.35">
      <c r="B111" s="86" t="s">
        <v>187</v>
      </c>
      <c r="C111" s="86" t="s">
        <v>1166</v>
      </c>
      <c r="D111" s="86" t="s">
        <v>624</v>
      </c>
      <c r="E111" s="86" t="s">
        <v>625</v>
      </c>
      <c r="H111" s="88" t="s">
        <v>187</v>
      </c>
      <c r="I111" s="88" t="str">
        <f t="shared" si="5"/>
        <v>FA008</v>
      </c>
      <c r="J111" s="86" t="str">
        <f t="shared" si="1"/>
        <v>Accounting &amp; Fixed Asset Management</v>
      </c>
      <c r="L111" s="86" t="str">
        <f t="shared" si="2"/>
        <v>10301FA008</v>
      </c>
    </row>
    <row r="112" spans="2:12" outlineLevel="1" x14ac:dyDescent="0.35">
      <c r="B112" s="86" t="s">
        <v>606</v>
      </c>
      <c r="C112" s="86" t="s">
        <v>21</v>
      </c>
      <c r="D112" s="86" t="s">
        <v>147</v>
      </c>
      <c r="E112" s="86" t="s">
        <v>194</v>
      </c>
      <c r="H112" s="88" t="s">
        <v>59</v>
      </c>
      <c r="I112" s="88" t="str">
        <f t="shared" si="5"/>
        <v>GA001</v>
      </c>
      <c r="J112" s="86" t="str">
        <f t="shared" si="1"/>
        <v>General Affairs</v>
      </c>
      <c r="L112" s="86" t="str">
        <f t="shared" si="2"/>
        <v>10301GA001</v>
      </c>
    </row>
    <row r="113" spans="2:12" outlineLevel="1" x14ac:dyDescent="0.35">
      <c r="B113" s="86" t="s">
        <v>606</v>
      </c>
      <c r="C113" s="86" t="s">
        <v>21</v>
      </c>
      <c r="D113" s="86" t="s">
        <v>157</v>
      </c>
      <c r="E113" s="86" t="s">
        <v>195</v>
      </c>
      <c r="H113" s="88" t="s">
        <v>59</v>
      </c>
      <c r="I113" s="88" t="str">
        <f t="shared" si="5"/>
        <v>GA002</v>
      </c>
      <c r="J113" s="86" t="str">
        <f t="shared" si="1"/>
        <v>General Affairs</v>
      </c>
      <c r="L113" s="86" t="str">
        <f t="shared" si="2"/>
        <v>10301GA002</v>
      </c>
    </row>
    <row r="114" spans="2:12" outlineLevel="1" x14ac:dyDescent="0.35">
      <c r="B114" s="86" t="s">
        <v>606</v>
      </c>
      <c r="C114" s="86" t="s">
        <v>21</v>
      </c>
      <c r="D114" s="86" t="s">
        <v>164</v>
      </c>
      <c r="E114" s="86" t="s">
        <v>196</v>
      </c>
      <c r="H114" s="88" t="s">
        <v>59</v>
      </c>
      <c r="I114" s="88" t="str">
        <f t="shared" si="5"/>
        <v>GA003</v>
      </c>
      <c r="J114" s="86" t="str">
        <f t="shared" si="1"/>
        <v>General Affairs</v>
      </c>
      <c r="L114" s="86" t="str">
        <f t="shared" si="2"/>
        <v>10301GA003</v>
      </c>
    </row>
    <row r="115" spans="2:12" outlineLevel="1" x14ac:dyDescent="0.35">
      <c r="B115" s="86" t="s">
        <v>606</v>
      </c>
      <c r="C115" s="86" t="s">
        <v>21</v>
      </c>
      <c r="D115" s="86" t="s">
        <v>169</v>
      </c>
      <c r="E115" s="86" t="s">
        <v>197</v>
      </c>
      <c r="H115" s="88" t="s">
        <v>59</v>
      </c>
      <c r="I115" s="88" t="str">
        <f t="shared" si="5"/>
        <v>GA004</v>
      </c>
      <c r="J115" s="86" t="str">
        <f t="shared" si="1"/>
        <v>General Affairs</v>
      </c>
      <c r="L115" s="86" t="str">
        <f t="shared" si="2"/>
        <v>10301GA004</v>
      </c>
    </row>
    <row r="116" spans="2:12" outlineLevel="1" x14ac:dyDescent="0.35">
      <c r="B116" s="86" t="s">
        <v>606</v>
      </c>
      <c r="C116" s="86" t="s">
        <v>21</v>
      </c>
      <c r="D116" s="86" t="s">
        <v>172</v>
      </c>
      <c r="E116" s="86" t="s">
        <v>198</v>
      </c>
      <c r="H116" s="88" t="s">
        <v>59</v>
      </c>
      <c r="I116" s="88" t="str">
        <f t="shared" si="5"/>
        <v>GA005</v>
      </c>
      <c r="J116" s="86" t="str">
        <f t="shared" si="1"/>
        <v>General Affairs</v>
      </c>
      <c r="L116" s="86" t="str">
        <f t="shared" si="2"/>
        <v>10301GA005</v>
      </c>
    </row>
    <row r="117" spans="2:12" outlineLevel="1" x14ac:dyDescent="0.35">
      <c r="B117" s="86" t="s">
        <v>606</v>
      </c>
      <c r="C117" s="86" t="s">
        <v>21</v>
      </c>
      <c r="D117" s="86" t="s">
        <v>175</v>
      </c>
      <c r="E117" s="86" t="s">
        <v>199</v>
      </c>
      <c r="H117" s="88" t="s">
        <v>59</v>
      </c>
      <c r="I117" s="88" t="str">
        <f t="shared" si="5"/>
        <v>GA008</v>
      </c>
      <c r="J117" s="86" t="str">
        <f t="shared" si="1"/>
        <v>General Affairs</v>
      </c>
      <c r="L117" s="86" t="str">
        <f t="shared" si="2"/>
        <v>10301GA008</v>
      </c>
    </row>
    <row r="118" spans="2:12" outlineLevel="1" x14ac:dyDescent="0.35">
      <c r="B118" s="86" t="s">
        <v>606</v>
      </c>
      <c r="C118" s="86" t="s">
        <v>22</v>
      </c>
      <c r="D118" s="86" t="s">
        <v>149</v>
      </c>
      <c r="E118" s="86" t="s">
        <v>200</v>
      </c>
      <c r="H118" s="88" t="s">
        <v>34</v>
      </c>
      <c r="I118" s="88" t="str">
        <f t="shared" si="5"/>
        <v>HR001</v>
      </c>
      <c r="J118" s="86" t="str">
        <f t="shared" si="1"/>
        <v>Human Resources</v>
      </c>
      <c r="L118" s="86" t="str">
        <f t="shared" si="2"/>
        <v>10301HR001</v>
      </c>
    </row>
    <row r="119" spans="2:12" outlineLevel="1" x14ac:dyDescent="0.35">
      <c r="B119" s="86" t="s">
        <v>606</v>
      </c>
      <c r="C119" s="86" t="s">
        <v>22</v>
      </c>
      <c r="D119" s="86" t="s">
        <v>158</v>
      </c>
      <c r="E119" s="86" t="s">
        <v>201</v>
      </c>
      <c r="H119" s="88" t="s">
        <v>34</v>
      </c>
      <c r="I119" s="88" t="str">
        <f t="shared" si="5"/>
        <v>HR002</v>
      </c>
      <c r="J119" s="86" t="str">
        <f t="shared" si="1"/>
        <v>Human Resources</v>
      </c>
      <c r="L119" s="86" t="str">
        <f t="shared" si="2"/>
        <v>10301HR002</v>
      </c>
    </row>
    <row r="120" spans="2:12" outlineLevel="1" x14ac:dyDescent="0.35">
      <c r="B120" s="86" t="s">
        <v>606</v>
      </c>
      <c r="C120" s="86" t="s">
        <v>22</v>
      </c>
      <c r="D120" s="86" t="s">
        <v>165</v>
      </c>
      <c r="E120" s="86" t="s">
        <v>202</v>
      </c>
      <c r="H120" s="88" t="s">
        <v>34</v>
      </c>
      <c r="I120" s="88" t="str">
        <f t="shared" si="5"/>
        <v>HR003</v>
      </c>
      <c r="J120" s="86" t="str">
        <f t="shared" si="1"/>
        <v>Human Resources</v>
      </c>
      <c r="L120" s="86" t="str">
        <f t="shared" si="2"/>
        <v>10301HR003</v>
      </c>
    </row>
    <row r="121" spans="2:12" outlineLevel="1" x14ac:dyDescent="0.35">
      <c r="B121" s="86" t="s">
        <v>606</v>
      </c>
      <c r="C121" s="86" t="s">
        <v>22</v>
      </c>
      <c r="D121" s="86" t="s">
        <v>170</v>
      </c>
      <c r="E121" s="86" t="s">
        <v>203</v>
      </c>
      <c r="H121" s="88" t="s">
        <v>34</v>
      </c>
      <c r="I121" s="88" t="str">
        <f t="shared" si="5"/>
        <v>HR004</v>
      </c>
      <c r="J121" s="86" t="str">
        <f t="shared" si="1"/>
        <v>Human Resources</v>
      </c>
      <c r="L121" s="86" t="str">
        <f t="shared" si="2"/>
        <v>10301HR004</v>
      </c>
    </row>
    <row r="122" spans="2:12" outlineLevel="1" x14ac:dyDescent="0.35">
      <c r="B122" s="86" t="s">
        <v>606</v>
      </c>
      <c r="C122" s="86" t="s">
        <v>22</v>
      </c>
      <c r="D122" s="86" t="s">
        <v>173</v>
      </c>
      <c r="E122" s="86" t="s">
        <v>204</v>
      </c>
      <c r="H122" s="88" t="s">
        <v>34</v>
      </c>
      <c r="I122" s="88" t="str">
        <f t="shared" si="5"/>
        <v>HR005</v>
      </c>
      <c r="J122" s="86" t="str">
        <f t="shared" si="1"/>
        <v>Human Resources</v>
      </c>
      <c r="L122" s="86" t="str">
        <f t="shared" si="2"/>
        <v>10301HR005</v>
      </c>
    </row>
    <row r="123" spans="2:12" outlineLevel="1" x14ac:dyDescent="0.35">
      <c r="B123" s="86" t="s">
        <v>606</v>
      </c>
      <c r="C123" s="86" t="s">
        <v>22</v>
      </c>
      <c r="D123" s="86" t="s">
        <v>176</v>
      </c>
      <c r="E123" s="86" t="s">
        <v>205</v>
      </c>
      <c r="H123" s="88" t="s">
        <v>34</v>
      </c>
      <c r="I123" s="88" t="str">
        <f t="shared" si="5"/>
        <v>HR007</v>
      </c>
      <c r="J123" s="86" t="str">
        <f t="shared" si="1"/>
        <v>Human Resources</v>
      </c>
      <c r="L123" s="86" t="str">
        <f t="shared" si="2"/>
        <v>10301HR007</v>
      </c>
    </row>
    <row r="124" spans="2:12" outlineLevel="1" x14ac:dyDescent="0.35">
      <c r="B124" s="86" t="s">
        <v>606</v>
      </c>
      <c r="C124" s="86" t="s">
        <v>21</v>
      </c>
      <c r="D124" s="86" t="s">
        <v>178</v>
      </c>
      <c r="E124" s="86" t="s">
        <v>211</v>
      </c>
      <c r="H124" s="88" t="s">
        <v>59</v>
      </c>
      <c r="I124" s="88" t="str">
        <f t="shared" si="5"/>
        <v>MS001</v>
      </c>
      <c r="J124" s="86" t="str">
        <f t="shared" ref="J124:J144" si="6">C124</f>
        <v>General Affairs</v>
      </c>
      <c r="L124" s="86" t="str">
        <f t="shared" ref="L124:L144" si="7">D124</f>
        <v>10301MS001</v>
      </c>
    </row>
    <row r="125" spans="2:12" outlineLevel="1" x14ac:dyDescent="0.35">
      <c r="B125" s="86" t="s">
        <v>16</v>
      </c>
      <c r="C125" s="86" t="s">
        <v>180</v>
      </c>
      <c r="D125" s="86" t="s">
        <v>148</v>
      </c>
      <c r="E125" s="86" t="s">
        <v>206</v>
      </c>
      <c r="H125" s="88" t="s">
        <v>16</v>
      </c>
      <c r="I125" s="88" t="str">
        <f t="shared" si="5"/>
        <v>HS001</v>
      </c>
      <c r="J125" s="86" t="str">
        <f t="shared" si="6"/>
        <v>Health &amp; Safety</v>
      </c>
      <c r="L125" s="86" t="str">
        <f t="shared" si="7"/>
        <v>10301HS001</v>
      </c>
    </row>
    <row r="126" spans="2:12" outlineLevel="1" x14ac:dyDescent="0.35">
      <c r="B126" s="86" t="s">
        <v>16</v>
      </c>
      <c r="C126" s="86" t="s">
        <v>181</v>
      </c>
      <c r="D126" s="86" t="s">
        <v>174</v>
      </c>
      <c r="E126" s="86" t="s">
        <v>207</v>
      </c>
      <c r="H126" s="88" t="s">
        <v>16</v>
      </c>
      <c r="I126" s="88" t="str">
        <f t="shared" si="5"/>
        <v>HS002</v>
      </c>
      <c r="J126" s="86" t="str">
        <f t="shared" si="6"/>
        <v>Environment</v>
      </c>
      <c r="L126" s="86" t="str">
        <f t="shared" si="7"/>
        <v>10301HS002</v>
      </c>
    </row>
    <row r="127" spans="2:12" outlineLevel="1" x14ac:dyDescent="0.35">
      <c r="B127" s="86" t="s">
        <v>23</v>
      </c>
      <c r="C127" s="86" t="s">
        <v>129</v>
      </c>
      <c r="D127" s="86" t="s">
        <v>151</v>
      </c>
      <c r="E127" s="86" t="s">
        <v>209</v>
      </c>
      <c r="H127" s="88" t="s">
        <v>23</v>
      </c>
      <c r="I127" s="88" t="str">
        <f t="shared" si="5"/>
        <v>IT001</v>
      </c>
      <c r="J127" s="86" t="str">
        <f t="shared" si="6"/>
        <v>Information Technology</v>
      </c>
      <c r="L127" s="86" t="str">
        <f t="shared" si="7"/>
        <v>10301IT001</v>
      </c>
    </row>
    <row r="128" spans="2:12" outlineLevel="1" x14ac:dyDescent="0.35">
      <c r="B128" s="86" t="s">
        <v>23</v>
      </c>
      <c r="C128" s="86" t="s">
        <v>129</v>
      </c>
      <c r="D128" s="86" t="s">
        <v>210</v>
      </c>
      <c r="E128" s="86" t="s">
        <v>522</v>
      </c>
      <c r="H128" s="88" t="s">
        <v>23</v>
      </c>
      <c r="I128" s="88" t="str">
        <f t="shared" si="5"/>
        <v>IT002</v>
      </c>
      <c r="J128" s="86" t="str">
        <f t="shared" si="6"/>
        <v>Information Technology</v>
      </c>
      <c r="L128" s="86" t="str">
        <f t="shared" si="7"/>
        <v>10301IT002</v>
      </c>
    </row>
    <row r="129" spans="2:12" outlineLevel="1" x14ac:dyDescent="0.35">
      <c r="B129" s="86" t="s">
        <v>23</v>
      </c>
      <c r="C129" s="86" t="s">
        <v>129</v>
      </c>
      <c r="D129" s="86" t="s">
        <v>159</v>
      </c>
      <c r="E129" s="13" t="s">
        <v>626</v>
      </c>
      <c r="H129" s="88" t="s">
        <v>23</v>
      </c>
      <c r="I129" s="88" t="str">
        <f t="shared" si="5"/>
        <v>IT003</v>
      </c>
      <c r="J129" s="86" t="str">
        <f t="shared" si="6"/>
        <v>Information Technology</v>
      </c>
      <c r="L129" s="86" t="str">
        <f t="shared" si="7"/>
        <v>10301IT003</v>
      </c>
    </row>
    <row r="130" spans="2:12" outlineLevel="1" x14ac:dyDescent="0.35">
      <c r="B130" s="86" t="s">
        <v>23</v>
      </c>
      <c r="C130" s="86" t="s">
        <v>129</v>
      </c>
      <c r="D130" s="86" t="s">
        <v>627</v>
      </c>
      <c r="E130" s="86" t="s">
        <v>628</v>
      </c>
      <c r="H130" s="88" t="s">
        <v>23</v>
      </c>
      <c r="I130" s="88" t="str">
        <f t="shared" si="5"/>
        <v>IT004</v>
      </c>
      <c r="J130" s="86" t="str">
        <f t="shared" si="6"/>
        <v>Information Technology</v>
      </c>
      <c r="L130" s="86" t="str">
        <f t="shared" si="7"/>
        <v>10301IT004</v>
      </c>
    </row>
    <row r="131" spans="2:12" outlineLevel="1" x14ac:dyDescent="0.35">
      <c r="B131" s="86" t="s">
        <v>629</v>
      </c>
      <c r="C131" s="86" t="s">
        <v>610</v>
      </c>
      <c r="D131" s="86" t="s">
        <v>161</v>
      </c>
      <c r="E131" s="86" t="s">
        <v>1232</v>
      </c>
      <c r="H131" s="88" t="s">
        <v>650</v>
      </c>
      <c r="I131" s="88" t="str">
        <f t="shared" si="5"/>
        <v>MS002</v>
      </c>
      <c r="J131" s="86" t="str">
        <f t="shared" si="6"/>
        <v>Government Relation &amp; EA</v>
      </c>
      <c r="L131" s="86" t="str">
        <f t="shared" si="7"/>
        <v>10301MS002</v>
      </c>
    </row>
    <row r="132" spans="2:12" outlineLevel="1" x14ac:dyDescent="0.35">
      <c r="B132" s="86" t="s">
        <v>629</v>
      </c>
      <c r="C132" s="86" t="s">
        <v>610</v>
      </c>
      <c r="D132" s="86" t="s">
        <v>167</v>
      </c>
      <c r="E132" s="86" t="s">
        <v>1233</v>
      </c>
      <c r="H132" s="88" t="s">
        <v>650</v>
      </c>
      <c r="I132" s="88" t="str">
        <f t="shared" si="5"/>
        <v>MS006</v>
      </c>
      <c r="J132" s="86" t="str">
        <f t="shared" si="6"/>
        <v>Government Relation &amp; EA</v>
      </c>
      <c r="L132" s="86" t="str">
        <f t="shared" si="7"/>
        <v>10301MS006</v>
      </c>
    </row>
    <row r="133" spans="2:12" outlineLevel="1" x14ac:dyDescent="0.35">
      <c r="B133" s="86" t="s">
        <v>629</v>
      </c>
      <c r="C133" s="86" t="s">
        <v>610</v>
      </c>
      <c r="D133" s="86" t="s">
        <v>171</v>
      </c>
      <c r="E133" s="86" t="s">
        <v>213</v>
      </c>
      <c r="H133" s="88" t="s">
        <v>650</v>
      </c>
      <c r="I133" s="88" t="str">
        <f t="shared" si="5"/>
        <v>MS007</v>
      </c>
      <c r="J133" s="86" t="str">
        <f t="shared" si="6"/>
        <v>Government Relation &amp; EA</v>
      </c>
      <c r="L133" s="86" t="str">
        <f t="shared" si="7"/>
        <v>10301MS007</v>
      </c>
    </row>
    <row r="134" spans="2:12" outlineLevel="1" x14ac:dyDescent="0.35">
      <c r="B134" s="86" t="s">
        <v>629</v>
      </c>
      <c r="C134" s="86" t="s">
        <v>610</v>
      </c>
      <c r="D134" s="86" t="s">
        <v>601</v>
      </c>
      <c r="E134" s="86" t="s">
        <v>1234</v>
      </c>
      <c r="H134" s="88" t="s">
        <v>650</v>
      </c>
      <c r="I134" s="88" t="str">
        <f t="shared" si="5"/>
        <v>MS010</v>
      </c>
      <c r="J134" s="86" t="str">
        <f t="shared" si="6"/>
        <v>Government Relation &amp; EA</v>
      </c>
      <c r="L134" s="86" t="str">
        <f t="shared" si="7"/>
        <v>10301MS010</v>
      </c>
    </row>
    <row r="135" spans="2:12" outlineLevel="1" x14ac:dyDescent="0.35">
      <c r="B135" s="86" t="s">
        <v>620</v>
      </c>
      <c r="C135" s="86" t="s">
        <v>17</v>
      </c>
      <c r="D135" s="86" t="s">
        <v>177</v>
      </c>
      <c r="E135" s="86" t="s">
        <v>215</v>
      </c>
      <c r="H135" s="88" t="s">
        <v>1164</v>
      </c>
      <c r="I135" s="88" t="str">
        <f t="shared" si="5"/>
        <v>PR001</v>
      </c>
      <c r="J135" s="86" t="str">
        <f t="shared" si="6"/>
        <v>Corporate Communication</v>
      </c>
      <c r="L135" s="86" t="str">
        <f t="shared" si="7"/>
        <v>10301PR001</v>
      </c>
    </row>
    <row r="136" spans="2:12" outlineLevel="1" x14ac:dyDescent="0.35">
      <c r="B136" s="86" t="s">
        <v>620</v>
      </c>
      <c r="C136" s="86" t="s">
        <v>17</v>
      </c>
      <c r="D136" s="86" t="s">
        <v>179</v>
      </c>
      <c r="E136" s="86" t="s">
        <v>216</v>
      </c>
      <c r="H136" s="88" t="s">
        <v>1164</v>
      </c>
      <c r="I136" s="88" t="str">
        <f t="shared" si="5"/>
        <v>PR002</v>
      </c>
      <c r="J136" s="86" t="str">
        <f t="shared" si="6"/>
        <v>Corporate Communication</v>
      </c>
      <c r="L136" s="86" t="str">
        <f t="shared" si="7"/>
        <v>10301PR002</v>
      </c>
    </row>
    <row r="137" spans="2:12" outlineLevel="1" x14ac:dyDescent="0.35">
      <c r="B137" s="86" t="s">
        <v>137</v>
      </c>
      <c r="C137" s="86" t="s">
        <v>609</v>
      </c>
      <c r="D137" s="86" t="s">
        <v>168</v>
      </c>
      <c r="E137" s="86" t="s">
        <v>630</v>
      </c>
      <c r="H137" s="88" t="s">
        <v>137</v>
      </c>
      <c r="I137" s="88" t="str">
        <f t="shared" si="5"/>
        <v>SC002</v>
      </c>
      <c r="J137" s="86" t="str">
        <f t="shared" si="6"/>
        <v>SCM Logistics</v>
      </c>
      <c r="L137" s="86" t="str">
        <f t="shared" si="7"/>
        <v>10301SC002</v>
      </c>
    </row>
    <row r="138" spans="2:12" outlineLevel="1" x14ac:dyDescent="0.35">
      <c r="B138" s="86" t="s">
        <v>137</v>
      </c>
      <c r="C138" s="86" t="s">
        <v>613</v>
      </c>
      <c r="D138" s="86" t="s">
        <v>142</v>
      </c>
      <c r="E138" s="86" t="s">
        <v>631</v>
      </c>
      <c r="H138" s="88" t="s">
        <v>137</v>
      </c>
      <c r="I138" s="88" t="str">
        <f t="shared" si="5"/>
        <v>SC004</v>
      </c>
      <c r="J138" s="86" t="str">
        <f t="shared" si="6"/>
        <v>SCM Warehouse &amp; Inventory</v>
      </c>
      <c r="L138" s="86" t="str">
        <f t="shared" si="7"/>
        <v>10301SC004</v>
      </c>
    </row>
    <row r="139" spans="2:12" outlineLevel="1" x14ac:dyDescent="0.35">
      <c r="B139" s="86" t="s">
        <v>137</v>
      </c>
      <c r="C139" s="86" t="s">
        <v>617</v>
      </c>
      <c r="D139" s="86" t="s">
        <v>163</v>
      </c>
      <c r="E139" s="86" t="s">
        <v>632</v>
      </c>
      <c r="H139" s="88" t="s">
        <v>137</v>
      </c>
      <c r="I139" s="88" t="str">
        <f t="shared" si="5"/>
        <v>SC005</v>
      </c>
      <c r="J139" s="86" t="str">
        <f t="shared" si="6"/>
        <v>SCM Grader</v>
      </c>
      <c r="L139" s="86" t="str">
        <f t="shared" si="7"/>
        <v>10301SC005</v>
      </c>
    </row>
    <row r="140" spans="2:12" outlineLevel="1" x14ac:dyDescent="0.35">
      <c r="B140" s="86" t="s">
        <v>137</v>
      </c>
      <c r="C140" s="86" t="s">
        <v>613</v>
      </c>
      <c r="D140" s="86" t="s">
        <v>218</v>
      </c>
      <c r="E140" s="86" t="s">
        <v>219</v>
      </c>
      <c r="H140" s="88" t="s">
        <v>137</v>
      </c>
      <c r="I140" s="88" t="str">
        <f t="shared" si="5"/>
        <v>SC006</v>
      </c>
      <c r="J140" s="86" t="str">
        <f t="shared" si="6"/>
        <v>SCM Warehouse &amp; Inventory</v>
      </c>
      <c r="L140" s="86" t="str">
        <f t="shared" si="7"/>
        <v>10301SC006</v>
      </c>
    </row>
    <row r="141" spans="2:12" outlineLevel="1" x14ac:dyDescent="0.35">
      <c r="B141" s="86" t="s">
        <v>137</v>
      </c>
      <c r="C141" s="86" t="s">
        <v>613</v>
      </c>
      <c r="D141" s="86" t="s">
        <v>220</v>
      </c>
      <c r="E141" s="86" t="s">
        <v>221</v>
      </c>
      <c r="H141" s="88" t="s">
        <v>137</v>
      </c>
      <c r="I141" s="88" t="str">
        <f t="shared" si="5"/>
        <v>SC007</v>
      </c>
      <c r="J141" s="86" t="str">
        <f t="shared" si="6"/>
        <v>SCM Warehouse &amp; Inventory</v>
      </c>
      <c r="L141" s="86" t="str">
        <f t="shared" si="7"/>
        <v>10301SC007</v>
      </c>
    </row>
    <row r="142" spans="2:12" outlineLevel="1" x14ac:dyDescent="0.35">
      <c r="B142" s="86" t="s">
        <v>137</v>
      </c>
      <c r="C142" s="86" t="s">
        <v>613</v>
      </c>
      <c r="D142" s="86" t="s">
        <v>633</v>
      </c>
      <c r="E142" s="86" t="s">
        <v>634</v>
      </c>
      <c r="H142" s="88" t="s">
        <v>137</v>
      </c>
      <c r="I142" s="88" t="str">
        <f t="shared" si="5"/>
        <v>SC009</v>
      </c>
      <c r="J142" s="86" t="str">
        <f t="shared" si="6"/>
        <v>SCM Warehouse &amp; Inventory</v>
      </c>
      <c r="L142" s="86" t="str">
        <f t="shared" si="7"/>
        <v>10301SC009</v>
      </c>
    </row>
    <row r="143" spans="2:12" outlineLevel="1" x14ac:dyDescent="0.35">
      <c r="B143" s="86" t="s">
        <v>635</v>
      </c>
      <c r="C143" s="86" t="s">
        <v>24</v>
      </c>
      <c r="D143" s="86" t="s">
        <v>141</v>
      </c>
      <c r="E143" s="86" t="s">
        <v>217</v>
      </c>
      <c r="H143" s="88" t="s">
        <v>648</v>
      </c>
      <c r="I143" s="88" t="str">
        <f t="shared" si="5"/>
        <v>SC001</v>
      </c>
      <c r="J143" s="86" t="str">
        <f t="shared" si="6"/>
        <v>Strategic Sourcing &amp; Procurement</v>
      </c>
      <c r="L143" s="86" t="str">
        <f t="shared" si="7"/>
        <v>10301SC001</v>
      </c>
    </row>
    <row r="144" spans="2:12" outlineLevel="1" x14ac:dyDescent="0.35">
      <c r="B144" s="86" t="s">
        <v>635</v>
      </c>
      <c r="C144" s="86" t="s">
        <v>24</v>
      </c>
      <c r="D144" s="86" t="s">
        <v>638</v>
      </c>
      <c r="E144" s="86" t="s">
        <v>639</v>
      </c>
      <c r="H144" s="88" t="s">
        <v>648</v>
      </c>
      <c r="I144" s="88" t="str">
        <f t="shared" si="5"/>
        <v>SC008</v>
      </c>
      <c r="J144" s="86" t="str">
        <f t="shared" si="6"/>
        <v>Strategic Sourcing &amp; Procurement</v>
      </c>
      <c r="L144" s="86" t="str">
        <f t="shared" si="7"/>
        <v>10301SC008</v>
      </c>
    </row>
    <row r="145" spans="2:12" outlineLevel="1" x14ac:dyDescent="0.35">
      <c r="B145" s="86" t="s">
        <v>635</v>
      </c>
      <c r="C145" s="86" t="s">
        <v>128</v>
      </c>
      <c r="D145" s="86" t="s">
        <v>140</v>
      </c>
      <c r="E145" s="86" t="s">
        <v>222</v>
      </c>
      <c r="H145" s="88" t="s">
        <v>647</v>
      </c>
      <c r="I145" s="88" t="str">
        <f t="shared" ref="I145:I146" si="8">RIGHT(D145,5)</f>
        <v>SM001</v>
      </c>
      <c r="J145" s="86" t="str">
        <f t="shared" ref="J145:J146" si="9">C145</f>
        <v>Sales</v>
      </c>
      <c r="L145" s="86" t="str">
        <f t="shared" ref="L145:L146" si="10">D145</f>
        <v>10301SM001</v>
      </c>
    </row>
    <row r="146" spans="2:12" outlineLevel="1" x14ac:dyDescent="0.35">
      <c r="B146" s="86" t="s">
        <v>635</v>
      </c>
      <c r="C146" s="86" t="s">
        <v>128</v>
      </c>
      <c r="D146" s="86" t="s">
        <v>636</v>
      </c>
      <c r="E146" s="86" t="s">
        <v>637</v>
      </c>
      <c r="H146" s="88" t="s">
        <v>647</v>
      </c>
      <c r="I146" s="88" t="str">
        <f t="shared" si="8"/>
        <v>SM004</v>
      </c>
      <c r="J146" s="86" t="str">
        <f t="shared" si="9"/>
        <v>Sales</v>
      </c>
      <c r="L146" s="86" t="str">
        <f t="shared" si="10"/>
        <v>10301SM004</v>
      </c>
    </row>
    <row r="147" spans="2:12" outlineLevel="1" x14ac:dyDescent="0.35"/>
    <row r="148" spans="2:12" s="81" customFormat="1" x14ac:dyDescent="0.35">
      <c r="B148" s="80" t="s">
        <v>1167</v>
      </c>
      <c r="H148" s="82"/>
      <c r="I148" s="82"/>
    </row>
    <row r="150" spans="2:12" s="3" customFormat="1" x14ac:dyDescent="0.35">
      <c r="B150" s="37" t="s">
        <v>761</v>
      </c>
      <c r="H150" s="89"/>
      <c r="I150" s="89"/>
    </row>
    <row r="151" spans="2:12" s="3" customFormat="1" outlineLevel="1" x14ac:dyDescent="0.35">
      <c r="B151" s="17" t="s">
        <v>762</v>
      </c>
      <c r="C151" s="17" t="s">
        <v>763</v>
      </c>
      <c r="D151" s="39" t="s">
        <v>765</v>
      </c>
      <c r="E151" s="39" t="s">
        <v>766</v>
      </c>
      <c r="H151" s="17" t="s">
        <v>762</v>
      </c>
    </row>
    <row r="152" spans="2:12" s="3" customFormat="1" outlineLevel="1" x14ac:dyDescent="0.35">
      <c r="B152" s="68">
        <v>50200010</v>
      </c>
      <c r="C152" s="51" t="s">
        <v>767</v>
      </c>
      <c r="D152" s="69" t="s">
        <v>265</v>
      </c>
      <c r="E152" s="69" t="s">
        <v>769</v>
      </c>
      <c r="H152" s="89">
        <f t="shared" ref="H152:H215" si="11">B152</f>
        <v>50200010</v>
      </c>
    </row>
    <row r="153" spans="2:12" s="3" customFormat="1" outlineLevel="1" x14ac:dyDescent="0.35">
      <c r="B153" s="68">
        <v>50300010</v>
      </c>
      <c r="C153" s="51" t="s">
        <v>33</v>
      </c>
      <c r="D153" s="70" t="s">
        <v>266</v>
      </c>
      <c r="E153" s="70" t="s">
        <v>34</v>
      </c>
      <c r="H153" s="89">
        <f t="shared" si="11"/>
        <v>50300010</v>
      </c>
    </row>
    <row r="154" spans="2:12" s="3" customFormat="1" outlineLevel="1" x14ac:dyDescent="0.35">
      <c r="B154" s="68">
        <v>50300020</v>
      </c>
      <c r="C154" s="51" t="s">
        <v>35</v>
      </c>
      <c r="D154" s="51" t="s">
        <v>266</v>
      </c>
      <c r="E154" s="70" t="s">
        <v>34</v>
      </c>
      <c r="H154" s="89">
        <f t="shared" si="11"/>
        <v>50300020</v>
      </c>
    </row>
    <row r="155" spans="2:12" s="3" customFormat="1" outlineLevel="1" x14ac:dyDescent="0.35">
      <c r="B155" s="68">
        <v>50300030</v>
      </c>
      <c r="C155" s="51" t="s">
        <v>36</v>
      </c>
      <c r="D155" s="51" t="s">
        <v>266</v>
      </c>
      <c r="E155" s="70" t="s">
        <v>34</v>
      </c>
      <c r="H155" s="89">
        <f t="shared" si="11"/>
        <v>50300030</v>
      </c>
    </row>
    <row r="156" spans="2:12" s="3" customFormat="1" outlineLevel="1" x14ac:dyDescent="0.35">
      <c r="B156" s="68">
        <v>50300040</v>
      </c>
      <c r="C156" s="51" t="s">
        <v>37</v>
      </c>
      <c r="D156" s="51" t="s">
        <v>266</v>
      </c>
      <c r="E156" s="70" t="s">
        <v>34</v>
      </c>
      <c r="H156" s="89">
        <f t="shared" si="11"/>
        <v>50300040</v>
      </c>
    </row>
    <row r="157" spans="2:12" s="3" customFormat="1" outlineLevel="1" x14ac:dyDescent="0.35">
      <c r="B157" s="68">
        <v>50300050</v>
      </c>
      <c r="C157" s="51" t="s">
        <v>38</v>
      </c>
      <c r="D157" s="51" t="s">
        <v>266</v>
      </c>
      <c r="E157" s="70" t="s">
        <v>34</v>
      </c>
      <c r="H157" s="89">
        <f t="shared" si="11"/>
        <v>50300050</v>
      </c>
    </row>
    <row r="158" spans="2:12" s="3" customFormat="1" outlineLevel="1" x14ac:dyDescent="0.35">
      <c r="B158" s="68">
        <v>50300060</v>
      </c>
      <c r="C158" s="51" t="s">
        <v>775</v>
      </c>
      <c r="D158" s="51" t="s">
        <v>266</v>
      </c>
      <c r="E158" s="70" t="s">
        <v>34</v>
      </c>
      <c r="H158" s="89">
        <f t="shared" si="11"/>
        <v>50300060</v>
      </c>
    </row>
    <row r="159" spans="2:12" s="3" customFormat="1" outlineLevel="1" x14ac:dyDescent="0.35">
      <c r="B159" s="68">
        <v>50300070</v>
      </c>
      <c r="C159" s="51" t="s">
        <v>310</v>
      </c>
      <c r="D159" s="55" t="s">
        <v>266</v>
      </c>
      <c r="E159" s="70" t="s">
        <v>34</v>
      </c>
      <c r="H159" s="89">
        <f t="shared" si="11"/>
        <v>50300070</v>
      </c>
    </row>
    <row r="160" spans="2:12" s="3" customFormat="1" outlineLevel="1" x14ac:dyDescent="0.35">
      <c r="B160" s="68">
        <v>50300080</v>
      </c>
      <c r="C160" s="51" t="s">
        <v>39</v>
      </c>
      <c r="D160" s="55" t="s">
        <v>266</v>
      </c>
      <c r="E160" s="70" t="s">
        <v>34</v>
      </c>
      <c r="H160" s="89">
        <f t="shared" si="11"/>
        <v>50300080</v>
      </c>
    </row>
    <row r="161" spans="2:8" s="3" customFormat="1" outlineLevel="1" x14ac:dyDescent="0.35">
      <c r="B161" s="68">
        <v>50300090</v>
      </c>
      <c r="C161" s="51" t="s">
        <v>40</v>
      </c>
      <c r="D161" s="55" t="s">
        <v>266</v>
      </c>
      <c r="E161" s="70" t="s">
        <v>34</v>
      </c>
      <c r="H161" s="89">
        <f t="shared" si="11"/>
        <v>50300090</v>
      </c>
    </row>
    <row r="162" spans="2:8" s="3" customFormat="1" outlineLevel="1" x14ac:dyDescent="0.35">
      <c r="B162" s="68">
        <v>50300100</v>
      </c>
      <c r="C162" s="51" t="s">
        <v>41</v>
      </c>
      <c r="D162" s="55" t="s">
        <v>266</v>
      </c>
      <c r="E162" s="70" t="s">
        <v>34</v>
      </c>
      <c r="H162" s="89">
        <f t="shared" si="11"/>
        <v>50300100</v>
      </c>
    </row>
    <row r="163" spans="2:8" s="3" customFormat="1" outlineLevel="1" x14ac:dyDescent="0.35">
      <c r="B163" s="68">
        <v>50300110</v>
      </c>
      <c r="C163" s="51" t="s">
        <v>781</v>
      </c>
      <c r="D163" s="55" t="s">
        <v>266</v>
      </c>
      <c r="E163" s="70" t="s">
        <v>34</v>
      </c>
      <c r="H163" s="89">
        <f t="shared" si="11"/>
        <v>50300110</v>
      </c>
    </row>
    <row r="164" spans="2:8" s="3" customFormat="1" outlineLevel="1" x14ac:dyDescent="0.35">
      <c r="B164" s="68">
        <v>50300120</v>
      </c>
      <c r="C164" s="51" t="s">
        <v>783</v>
      </c>
      <c r="D164" s="55" t="s">
        <v>266</v>
      </c>
      <c r="E164" s="70" t="s">
        <v>34</v>
      </c>
      <c r="H164" s="89">
        <f t="shared" si="11"/>
        <v>50300120</v>
      </c>
    </row>
    <row r="165" spans="2:8" s="3" customFormat="1" outlineLevel="1" x14ac:dyDescent="0.35">
      <c r="B165" s="68">
        <v>50300990</v>
      </c>
      <c r="C165" s="51" t="s">
        <v>42</v>
      </c>
      <c r="D165" s="55" t="s">
        <v>266</v>
      </c>
      <c r="E165" s="70" t="s">
        <v>34</v>
      </c>
      <c r="H165" s="89">
        <f t="shared" si="11"/>
        <v>50300990</v>
      </c>
    </row>
    <row r="166" spans="2:8" s="3" customFormat="1" ht="29" outlineLevel="1" x14ac:dyDescent="0.35">
      <c r="B166" s="68">
        <v>50400010</v>
      </c>
      <c r="C166" s="51" t="s">
        <v>786</v>
      </c>
      <c r="D166" s="55" t="s">
        <v>267</v>
      </c>
      <c r="E166" s="70" t="s">
        <v>34</v>
      </c>
      <c r="H166" s="89">
        <f t="shared" si="11"/>
        <v>50400010</v>
      </c>
    </row>
    <row r="167" spans="2:8" s="3" customFormat="1" outlineLevel="1" x14ac:dyDescent="0.35">
      <c r="B167" s="68">
        <v>50500010</v>
      </c>
      <c r="C167" s="51" t="s">
        <v>788</v>
      </c>
      <c r="D167" s="55" t="s">
        <v>268</v>
      </c>
      <c r="E167" s="69" t="s">
        <v>769</v>
      </c>
      <c r="H167" s="89">
        <f t="shared" si="11"/>
        <v>50500010</v>
      </c>
    </row>
    <row r="168" spans="2:8" s="3" customFormat="1" outlineLevel="1" x14ac:dyDescent="0.35">
      <c r="B168" s="68">
        <v>50500020</v>
      </c>
      <c r="C168" s="51" t="s">
        <v>311</v>
      </c>
      <c r="D168" s="55" t="s">
        <v>268</v>
      </c>
      <c r="E168" s="69" t="s">
        <v>769</v>
      </c>
      <c r="H168" s="89">
        <f t="shared" si="11"/>
        <v>50500020</v>
      </c>
    </row>
    <row r="169" spans="2:8" s="3" customFormat="1" outlineLevel="1" x14ac:dyDescent="0.35">
      <c r="B169" s="68">
        <v>50500030</v>
      </c>
      <c r="C169" s="51" t="s">
        <v>791</v>
      </c>
      <c r="D169" s="55" t="s">
        <v>268</v>
      </c>
      <c r="E169" s="69" t="s">
        <v>769</v>
      </c>
      <c r="H169" s="89">
        <f t="shared" si="11"/>
        <v>50500030</v>
      </c>
    </row>
    <row r="170" spans="2:8" s="3" customFormat="1" outlineLevel="1" x14ac:dyDescent="0.35">
      <c r="B170" s="68">
        <v>50500040</v>
      </c>
      <c r="C170" s="51" t="s">
        <v>60</v>
      </c>
      <c r="D170" s="55" t="s">
        <v>268</v>
      </c>
      <c r="E170" s="69" t="s">
        <v>769</v>
      </c>
      <c r="H170" s="89">
        <f t="shared" si="11"/>
        <v>50500040</v>
      </c>
    </row>
    <row r="171" spans="2:8" s="3" customFormat="1" outlineLevel="1" x14ac:dyDescent="0.35">
      <c r="B171" s="68">
        <v>50600010</v>
      </c>
      <c r="C171" s="51" t="s">
        <v>228</v>
      </c>
      <c r="D171" s="55" t="s">
        <v>269</v>
      </c>
      <c r="E171" s="69" t="s">
        <v>769</v>
      </c>
      <c r="H171" s="89">
        <f t="shared" si="11"/>
        <v>50600010</v>
      </c>
    </row>
    <row r="172" spans="2:8" s="3" customFormat="1" outlineLevel="1" x14ac:dyDescent="0.35">
      <c r="B172" s="68">
        <v>50600020</v>
      </c>
      <c r="C172" s="51" t="s">
        <v>229</v>
      </c>
      <c r="D172" s="55" t="s">
        <v>269</v>
      </c>
      <c r="E172" s="69" t="s">
        <v>769</v>
      </c>
      <c r="H172" s="89">
        <f t="shared" si="11"/>
        <v>50600020</v>
      </c>
    </row>
    <row r="173" spans="2:8" s="3" customFormat="1" outlineLevel="1" x14ac:dyDescent="0.35">
      <c r="B173" s="68">
        <v>50600030</v>
      </c>
      <c r="C173" s="51" t="s">
        <v>795</v>
      </c>
      <c r="D173" s="55" t="s">
        <v>269</v>
      </c>
      <c r="E173" s="69" t="s">
        <v>769</v>
      </c>
      <c r="H173" s="89">
        <f t="shared" si="11"/>
        <v>50600030</v>
      </c>
    </row>
    <row r="174" spans="2:8" s="3" customFormat="1" ht="29" outlineLevel="1" x14ac:dyDescent="0.35">
      <c r="B174" s="68">
        <v>50600040</v>
      </c>
      <c r="C174" s="51" t="s">
        <v>231</v>
      </c>
      <c r="D174" s="55" t="s">
        <v>269</v>
      </c>
      <c r="E174" s="69" t="s">
        <v>769</v>
      </c>
      <c r="H174" s="89">
        <f t="shared" si="11"/>
        <v>50600040</v>
      </c>
    </row>
    <row r="175" spans="2:8" s="3" customFormat="1" outlineLevel="1" x14ac:dyDescent="0.35">
      <c r="B175" s="68">
        <v>50800010</v>
      </c>
      <c r="C175" s="51" t="s">
        <v>798</v>
      </c>
      <c r="D175" s="55" t="s">
        <v>270</v>
      </c>
      <c r="E175" s="69" t="s">
        <v>769</v>
      </c>
      <c r="H175" s="89">
        <f t="shared" si="11"/>
        <v>50800010</v>
      </c>
    </row>
    <row r="176" spans="2:8" s="3" customFormat="1" outlineLevel="1" x14ac:dyDescent="0.35">
      <c r="B176" s="68">
        <v>50800020</v>
      </c>
      <c r="C176" s="51" t="s">
        <v>64</v>
      </c>
      <c r="D176" s="55" t="s">
        <v>270</v>
      </c>
      <c r="E176" s="69" t="s">
        <v>769</v>
      </c>
      <c r="H176" s="89">
        <f t="shared" si="11"/>
        <v>50800020</v>
      </c>
    </row>
    <row r="177" spans="2:8" s="3" customFormat="1" outlineLevel="1" x14ac:dyDescent="0.35">
      <c r="B177" s="68">
        <v>50800030</v>
      </c>
      <c r="C177" s="51" t="s">
        <v>65</v>
      </c>
      <c r="D177" s="55" t="s">
        <v>270</v>
      </c>
      <c r="E177" s="69" t="s">
        <v>769</v>
      </c>
      <c r="H177" s="89">
        <f t="shared" si="11"/>
        <v>50800030</v>
      </c>
    </row>
    <row r="178" spans="2:8" s="3" customFormat="1" outlineLevel="1" x14ac:dyDescent="0.35">
      <c r="B178" s="68">
        <v>50800040</v>
      </c>
      <c r="C178" s="51" t="s">
        <v>66</v>
      </c>
      <c r="D178" s="55" t="s">
        <v>270</v>
      </c>
      <c r="E178" s="69" t="s">
        <v>769</v>
      </c>
      <c r="H178" s="89">
        <f t="shared" si="11"/>
        <v>50800040</v>
      </c>
    </row>
    <row r="179" spans="2:8" s="3" customFormat="1" outlineLevel="1" x14ac:dyDescent="0.35">
      <c r="B179" s="68">
        <v>50800050</v>
      </c>
      <c r="C179" s="51" t="s">
        <v>67</v>
      </c>
      <c r="D179" s="55" t="s">
        <v>270</v>
      </c>
      <c r="E179" s="69" t="s">
        <v>769</v>
      </c>
      <c r="H179" s="89">
        <f t="shared" si="11"/>
        <v>50800050</v>
      </c>
    </row>
    <row r="180" spans="2:8" s="3" customFormat="1" outlineLevel="1" x14ac:dyDescent="0.35">
      <c r="B180" s="68">
        <v>50800060</v>
      </c>
      <c r="C180" s="51" t="s">
        <v>68</v>
      </c>
      <c r="D180" s="55" t="s">
        <v>270</v>
      </c>
      <c r="E180" s="69" t="s">
        <v>769</v>
      </c>
      <c r="H180" s="89">
        <f t="shared" si="11"/>
        <v>50800060</v>
      </c>
    </row>
    <row r="181" spans="2:8" s="3" customFormat="1" outlineLevel="1" x14ac:dyDescent="0.35">
      <c r="B181" s="68">
        <v>50800070</v>
      </c>
      <c r="C181" s="51" t="s">
        <v>69</v>
      </c>
      <c r="D181" s="55" t="s">
        <v>270</v>
      </c>
      <c r="E181" s="69" t="s">
        <v>769</v>
      </c>
      <c r="H181" s="89">
        <f t="shared" si="11"/>
        <v>50800070</v>
      </c>
    </row>
    <row r="182" spans="2:8" s="3" customFormat="1" outlineLevel="1" x14ac:dyDescent="0.35">
      <c r="B182" s="68">
        <v>51100000</v>
      </c>
      <c r="C182" s="51" t="s">
        <v>232</v>
      </c>
      <c r="D182" s="55" t="s">
        <v>271</v>
      </c>
      <c r="E182" s="69" t="s">
        <v>769</v>
      </c>
      <c r="H182" s="89">
        <f t="shared" si="11"/>
        <v>51100000</v>
      </c>
    </row>
    <row r="183" spans="2:8" s="3" customFormat="1" outlineLevel="1" x14ac:dyDescent="0.35">
      <c r="B183" s="68">
        <v>51300010</v>
      </c>
      <c r="C183" s="51" t="s">
        <v>242</v>
      </c>
      <c r="D183" s="55" t="s">
        <v>273</v>
      </c>
      <c r="E183" s="55" t="s">
        <v>139</v>
      </c>
      <c r="H183" s="89">
        <f t="shared" si="11"/>
        <v>51300010</v>
      </c>
    </row>
    <row r="184" spans="2:8" s="3" customFormat="1" outlineLevel="1" x14ac:dyDescent="0.35">
      <c r="B184" s="68">
        <v>51300040</v>
      </c>
      <c r="C184" s="51" t="s">
        <v>245</v>
      </c>
      <c r="D184" s="55" t="s">
        <v>273</v>
      </c>
      <c r="E184" s="55" t="s">
        <v>139</v>
      </c>
      <c r="H184" s="89">
        <f t="shared" si="11"/>
        <v>51300040</v>
      </c>
    </row>
    <row r="185" spans="2:8" s="3" customFormat="1" outlineLevel="1" x14ac:dyDescent="0.35">
      <c r="B185" s="68">
        <v>51300050</v>
      </c>
      <c r="C185" s="51" t="s">
        <v>246</v>
      </c>
      <c r="D185" s="55" t="s">
        <v>273</v>
      </c>
      <c r="E185" s="55" t="s">
        <v>139</v>
      </c>
      <c r="H185" s="89">
        <f t="shared" si="11"/>
        <v>51300050</v>
      </c>
    </row>
    <row r="186" spans="2:8" s="3" customFormat="1" outlineLevel="1" x14ac:dyDescent="0.35">
      <c r="B186" s="68">
        <v>51300060</v>
      </c>
      <c r="C186" s="51" t="s">
        <v>247</v>
      </c>
      <c r="D186" s="55" t="s">
        <v>273</v>
      </c>
      <c r="E186" s="55" t="s">
        <v>139</v>
      </c>
      <c r="H186" s="89">
        <f t="shared" si="11"/>
        <v>51300060</v>
      </c>
    </row>
    <row r="187" spans="2:8" s="3" customFormat="1" outlineLevel="1" x14ac:dyDescent="0.35">
      <c r="B187" s="68">
        <v>51300090</v>
      </c>
      <c r="C187" s="51" t="s">
        <v>250</v>
      </c>
      <c r="D187" s="55" t="s">
        <v>273</v>
      </c>
      <c r="E187" s="55" t="s">
        <v>139</v>
      </c>
      <c r="H187" s="89">
        <f t="shared" si="11"/>
        <v>51300090</v>
      </c>
    </row>
    <row r="188" spans="2:8" s="3" customFormat="1" outlineLevel="1" x14ac:dyDescent="0.35">
      <c r="B188" s="68">
        <v>51500010</v>
      </c>
      <c r="C188" s="51" t="s">
        <v>812</v>
      </c>
      <c r="D188" s="55" t="s">
        <v>275</v>
      </c>
      <c r="E188" s="69" t="s">
        <v>769</v>
      </c>
      <c r="H188" s="89">
        <f t="shared" si="11"/>
        <v>51500010</v>
      </c>
    </row>
    <row r="189" spans="2:8" s="3" customFormat="1" outlineLevel="1" x14ac:dyDescent="0.35">
      <c r="B189" s="68">
        <v>51600010</v>
      </c>
      <c r="C189" s="51" t="s">
        <v>74</v>
      </c>
      <c r="D189" s="55" t="s">
        <v>276</v>
      </c>
      <c r="E189" s="69" t="s">
        <v>769</v>
      </c>
      <c r="H189" s="89">
        <f t="shared" si="11"/>
        <v>51600010</v>
      </c>
    </row>
    <row r="190" spans="2:8" s="3" customFormat="1" outlineLevel="1" x14ac:dyDescent="0.35">
      <c r="B190" s="68">
        <v>51600020</v>
      </c>
      <c r="C190" s="51" t="s">
        <v>75</v>
      </c>
      <c r="D190" s="55" t="s">
        <v>276</v>
      </c>
      <c r="E190" s="69" t="s">
        <v>769</v>
      </c>
      <c r="H190" s="89">
        <f t="shared" si="11"/>
        <v>51600020</v>
      </c>
    </row>
    <row r="191" spans="2:8" s="3" customFormat="1" outlineLevel="1" x14ac:dyDescent="0.35">
      <c r="B191" s="68">
        <v>51600030</v>
      </c>
      <c r="C191" s="51" t="s">
        <v>76</v>
      </c>
      <c r="D191" s="55" t="s">
        <v>276</v>
      </c>
      <c r="E191" s="69" t="s">
        <v>769</v>
      </c>
      <c r="H191" s="89">
        <f t="shared" si="11"/>
        <v>51600030</v>
      </c>
    </row>
    <row r="192" spans="2:8" s="3" customFormat="1" ht="29" outlineLevel="1" x14ac:dyDescent="0.35">
      <c r="B192" s="68">
        <v>51600040</v>
      </c>
      <c r="C192" s="51" t="s">
        <v>77</v>
      </c>
      <c r="D192" s="55" t="s">
        <v>276</v>
      </c>
      <c r="E192" s="69" t="s">
        <v>769</v>
      </c>
      <c r="H192" s="89">
        <f t="shared" si="11"/>
        <v>51600040</v>
      </c>
    </row>
    <row r="193" spans="2:8" s="3" customFormat="1" outlineLevel="1" x14ac:dyDescent="0.35">
      <c r="B193" s="68">
        <v>51600050</v>
      </c>
      <c r="C193" s="51" t="s">
        <v>253</v>
      </c>
      <c r="D193" s="55" t="s">
        <v>276</v>
      </c>
      <c r="E193" s="69" t="s">
        <v>769</v>
      </c>
      <c r="H193" s="89">
        <f t="shared" si="11"/>
        <v>51600050</v>
      </c>
    </row>
    <row r="194" spans="2:8" s="3" customFormat="1" outlineLevel="1" x14ac:dyDescent="0.35">
      <c r="B194" s="68">
        <v>51600070</v>
      </c>
      <c r="C194" s="51" t="s">
        <v>78</v>
      </c>
      <c r="D194" s="55" t="s">
        <v>276</v>
      </c>
      <c r="E194" s="69" t="s">
        <v>769</v>
      </c>
      <c r="H194" s="89">
        <f t="shared" si="11"/>
        <v>51600070</v>
      </c>
    </row>
    <row r="195" spans="2:8" s="3" customFormat="1" outlineLevel="1" x14ac:dyDescent="0.35">
      <c r="B195" s="68">
        <v>51700010</v>
      </c>
      <c r="C195" s="51" t="s">
        <v>79</v>
      </c>
      <c r="D195" s="55" t="s">
        <v>277</v>
      </c>
      <c r="E195" s="69" t="s">
        <v>769</v>
      </c>
      <c r="H195" s="89">
        <f t="shared" si="11"/>
        <v>51700010</v>
      </c>
    </row>
    <row r="196" spans="2:8" s="3" customFormat="1" outlineLevel="1" x14ac:dyDescent="0.35">
      <c r="B196" s="68">
        <v>51700030</v>
      </c>
      <c r="C196" s="51" t="s">
        <v>80</v>
      </c>
      <c r="D196" s="55" t="s">
        <v>277</v>
      </c>
      <c r="E196" s="69" t="s">
        <v>769</v>
      </c>
      <c r="H196" s="89">
        <f t="shared" si="11"/>
        <v>51700030</v>
      </c>
    </row>
    <row r="197" spans="2:8" s="3" customFormat="1" outlineLevel="1" x14ac:dyDescent="0.35">
      <c r="B197" s="68">
        <v>51700040</v>
      </c>
      <c r="C197" s="51" t="s">
        <v>81</v>
      </c>
      <c r="D197" s="55" t="s">
        <v>277</v>
      </c>
      <c r="E197" s="69" t="s">
        <v>769</v>
      </c>
      <c r="H197" s="89">
        <f t="shared" si="11"/>
        <v>51700040</v>
      </c>
    </row>
    <row r="198" spans="2:8" s="3" customFormat="1" outlineLevel="1" x14ac:dyDescent="0.35">
      <c r="B198" s="68">
        <v>51700050</v>
      </c>
      <c r="C198" s="51" t="s">
        <v>82</v>
      </c>
      <c r="D198" s="55" t="s">
        <v>277</v>
      </c>
      <c r="E198" s="69" t="s">
        <v>769</v>
      </c>
      <c r="H198" s="89">
        <f t="shared" si="11"/>
        <v>51700050</v>
      </c>
    </row>
    <row r="199" spans="2:8" s="3" customFormat="1" outlineLevel="1" x14ac:dyDescent="0.35">
      <c r="B199" s="68">
        <v>51700060</v>
      </c>
      <c r="C199" s="51" t="s">
        <v>83</v>
      </c>
      <c r="D199" s="55" t="s">
        <v>277</v>
      </c>
      <c r="E199" s="69" t="s">
        <v>769</v>
      </c>
      <c r="H199" s="89">
        <f t="shared" si="11"/>
        <v>51700060</v>
      </c>
    </row>
    <row r="200" spans="2:8" s="3" customFormat="1" outlineLevel="1" x14ac:dyDescent="0.35">
      <c r="B200" s="68">
        <v>51700070</v>
      </c>
      <c r="C200" s="51" t="s">
        <v>84</v>
      </c>
      <c r="D200" s="55" t="s">
        <v>277</v>
      </c>
      <c r="E200" s="69" t="s">
        <v>769</v>
      </c>
      <c r="H200" s="89">
        <f t="shared" si="11"/>
        <v>51700070</v>
      </c>
    </row>
    <row r="201" spans="2:8" s="3" customFormat="1" ht="29" outlineLevel="1" x14ac:dyDescent="0.35">
      <c r="B201" s="68">
        <v>51800010</v>
      </c>
      <c r="C201" s="51" t="s">
        <v>85</v>
      </c>
      <c r="D201" s="55" t="s">
        <v>278</v>
      </c>
      <c r="E201" s="69" t="s">
        <v>769</v>
      </c>
      <c r="H201" s="89">
        <f t="shared" si="11"/>
        <v>51800010</v>
      </c>
    </row>
    <row r="202" spans="2:8" s="3" customFormat="1" outlineLevel="1" x14ac:dyDescent="0.35">
      <c r="B202" s="68">
        <v>51800020</v>
      </c>
      <c r="C202" s="51" t="s">
        <v>86</v>
      </c>
      <c r="D202" s="55" t="s">
        <v>278</v>
      </c>
      <c r="E202" s="69" t="s">
        <v>769</v>
      </c>
      <c r="H202" s="89">
        <f t="shared" si="11"/>
        <v>51800020</v>
      </c>
    </row>
    <row r="203" spans="2:8" s="3" customFormat="1" outlineLevel="1" x14ac:dyDescent="0.35">
      <c r="B203" s="68">
        <v>51800030</v>
      </c>
      <c r="C203" s="51" t="s">
        <v>87</v>
      </c>
      <c r="D203" s="55" t="s">
        <v>278</v>
      </c>
      <c r="E203" s="69" t="s">
        <v>769</v>
      </c>
      <c r="H203" s="89">
        <f t="shared" si="11"/>
        <v>51800030</v>
      </c>
    </row>
    <row r="204" spans="2:8" s="3" customFormat="1" outlineLevel="1" x14ac:dyDescent="0.35">
      <c r="B204" s="68">
        <v>51800090</v>
      </c>
      <c r="C204" s="51" t="s">
        <v>88</v>
      </c>
      <c r="D204" s="55" t="s">
        <v>278</v>
      </c>
      <c r="E204" s="69" t="s">
        <v>769</v>
      </c>
      <c r="H204" s="89">
        <f t="shared" si="11"/>
        <v>51800090</v>
      </c>
    </row>
    <row r="205" spans="2:8" s="3" customFormat="1" outlineLevel="1" x14ac:dyDescent="0.35">
      <c r="B205" s="68">
        <v>51900010</v>
      </c>
      <c r="C205" s="51" t="s">
        <v>89</v>
      </c>
      <c r="D205" s="55" t="s">
        <v>227</v>
      </c>
      <c r="E205" s="69" t="s">
        <v>769</v>
      </c>
      <c r="H205" s="89">
        <f t="shared" si="11"/>
        <v>51900010</v>
      </c>
    </row>
    <row r="206" spans="2:8" s="3" customFormat="1" outlineLevel="1" x14ac:dyDescent="0.35">
      <c r="B206" s="68">
        <v>51900020</v>
      </c>
      <c r="C206" s="51" t="s">
        <v>91</v>
      </c>
      <c r="D206" s="55" t="s">
        <v>227</v>
      </c>
      <c r="E206" s="69" t="s">
        <v>769</v>
      </c>
      <c r="H206" s="89">
        <f t="shared" si="11"/>
        <v>51900020</v>
      </c>
    </row>
    <row r="207" spans="2:8" s="3" customFormat="1" outlineLevel="1" x14ac:dyDescent="0.35">
      <c r="B207" s="68">
        <v>51900030</v>
      </c>
      <c r="C207" s="51" t="s">
        <v>92</v>
      </c>
      <c r="D207" s="55" t="s">
        <v>227</v>
      </c>
      <c r="E207" s="69" t="s">
        <v>769</v>
      </c>
      <c r="H207" s="89">
        <f t="shared" si="11"/>
        <v>51900030</v>
      </c>
    </row>
    <row r="208" spans="2:8" s="3" customFormat="1" outlineLevel="1" x14ac:dyDescent="0.35">
      <c r="B208" s="68">
        <v>51900040</v>
      </c>
      <c r="C208" s="51" t="s">
        <v>93</v>
      </c>
      <c r="D208" s="55" t="s">
        <v>227</v>
      </c>
      <c r="E208" s="69" t="s">
        <v>769</v>
      </c>
      <c r="H208" s="89">
        <f t="shared" si="11"/>
        <v>51900040</v>
      </c>
    </row>
    <row r="209" spans="2:8" s="3" customFormat="1" outlineLevel="1" x14ac:dyDescent="0.35">
      <c r="B209" s="68">
        <v>51900090</v>
      </c>
      <c r="C209" s="51" t="s">
        <v>94</v>
      </c>
      <c r="D209" s="55" t="s">
        <v>227</v>
      </c>
      <c r="E209" s="69" t="s">
        <v>769</v>
      </c>
      <c r="H209" s="89">
        <f t="shared" si="11"/>
        <v>51900090</v>
      </c>
    </row>
    <row r="210" spans="2:8" s="3" customFormat="1" outlineLevel="1" x14ac:dyDescent="0.35">
      <c r="B210" s="68">
        <v>52100010</v>
      </c>
      <c r="C210" s="51" t="s">
        <v>98</v>
      </c>
      <c r="D210" s="55" t="s">
        <v>280</v>
      </c>
      <c r="E210" s="69" t="s">
        <v>769</v>
      </c>
      <c r="H210" s="89">
        <f t="shared" si="11"/>
        <v>52100010</v>
      </c>
    </row>
    <row r="211" spans="2:8" s="3" customFormat="1" outlineLevel="1" x14ac:dyDescent="0.35">
      <c r="B211" s="68">
        <v>52100020</v>
      </c>
      <c r="C211" s="51" t="s">
        <v>100</v>
      </c>
      <c r="D211" s="55" t="s">
        <v>280</v>
      </c>
      <c r="E211" s="69" t="s">
        <v>769</v>
      </c>
      <c r="H211" s="89">
        <f t="shared" si="11"/>
        <v>52100020</v>
      </c>
    </row>
    <row r="212" spans="2:8" s="3" customFormat="1" outlineLevel="1" x14ac:dyDescent="0.35">
      <c r="B212" s="68">
        <v>52100030</v>
      </c>
      <c r="C212" s="51" t="s">
        <v>101</v>
      </c>
      <c r="D212" s="55" t="s">
        <v>280</v>
      </c>
      <c r="E212" s="69" t="s">
        <v>769</v>
      </c>
      <c r="H212" s="89">
        <f t="shared" si="11"/>
        <v>52100030</v>
      </c>
    </row>
    <row r="213" spans="2:8" s="3" customFormat="1" outlineLevel="1" x14ac:dyDescent="0.35">
      <c r="B213" s="68">
        <v>52100040</v>
      </c>
      <c r="C213" s="51" t="s">
        <v>103</v>
      </c>
      <c r="D213" s="55" t="s">
        <v>280</v>
      </c>
      <c r="E213" s="69" t="s">
        <v>769</v>
      </c>
      <c r="H213" s="89">
        <f t="shared" si="11"/>
        <v>52100040</v>
      </c>
    </row>
    <row r="214" spans="2:8" s="3" customFormat="1" outlineLevel="1" x14ac:dyDescent="0.35">
      <c r="B214" s="68">
        <v>52100050</v>
      </c>
      <c r="C214" s="51" t="s">
        <v>105</v>
      </c>
      <c r="D214" s="55" t="s">
        <v>280</v>
      </c>
      <c r="E214" s="69" t="s">
        <v>769</v>
      </c>
      <c r="H214" s="89">
        <f t="shared" si="11"/>
        <v>52100050</v>
      </c>
    </row>
    <row r="215" spans="2:8" s="3" customFormat="1" outlineLevel="1" x14ac:dyDescent="0.35">
      <c r="B215" s="68">
        <v>52200010</v>
      </c>
      <c r="C215" s="51" t="s">
        <v>106</v>
      </c>
      <c r="D215" s="55" t="s">
        <v>281</v>
      </c>
      <c r="E215" s="69" t="s">
        <v>769</v>
      </c>
      <c r="H215" s="89">
        <f t="shared" si="11"/>
        <v>52200010</v>
      </c>
    </row>
    <row r="216" spans="2:8" s="3" customFormat="1" outlineLevel="1" x14ac:dyDescent="0.35">
      <c r="B216" s="68">
        <v>52200020</v>
      </c>
      <c r="C216" s="51" t="s">
        <v>108</v>
      </c>
      <c r="D216" s="55" t="s">
        <v>281</v>
      </c>
      <c r="E216" s="69" t="s">
        <v>769</v>
      </c>
      <c r="H216" s="89">
        <f t="shared" ref="H216:H227" si="12">B216</f>
        <v>52200020</v>
      </c>
    </row>
    <row r="217" spans="2:8" s="3" customFormat="1" outlineLevel="1" x14ac:dyDescent="0.35">
      <c r="B217" s="68">
        <v>52300010</v>
      </c>
      <c r="C217" s="51" t="s">
        <v>110</v>
      </c>
      <c r="D217" s="55" t="s">
        <v>282</v>
      </c>
      <c r="E217" s="69" t="s">
        <v>769</v>
      </c>
      <c r="H217" s="89">
        <f t="shared" si="12"/>
        <v>52300010</v>
      </c>
    </row>
    <row r="218" spans="2:8" s="3" customFormat="1" outlineLevel="1" x14ac:dyDescent="0.35">
      <c r="B218" s="68">
        <v>52300020</v>
      </c>
      <c r="C218" s="51" t="s">
        <v>112</v>
      </c>
      <c r="D218" s="55" t="s">
        <v>282</v>
      </c>
      <c r="E218" s="69" t="s">
        <v>769</v>
      </c>
      <c r="H218" s="89">
        <f t="shared" si="12"/>
        <v>52300020</v>
      </c>
    </row>
    <row r="219" spans="2:8" s="3" customFormat="1" outlineLevel="1" x14ac:dyDescent="0.35">
      <c r="B219" s="68">
        <v>52400030</v>
      </c>
      <c r="C219" s="51" t="s">
        <v>114</v>
      </c>
      <c r="D219" s="55" t="s">
        <v>283</v>
      </c>
      <c r="E219" s="69" t="s">
        <v>769</v>
      </c>
      <c r="H219" s="89">
        <f t="shared" si="12"/>
        <v>52400030</v>
      </c>
    </row>
    <row r="220" spans="2:8" s="3" customFormat="1" outlineLevel="1" x14ac:dyDescent="0.35">
      <c r="B220" s="68">
        <v>52400040</v>
      </c>
      <c r="C220" s="51" t="s">
        <v>116</v>
      </c>
      <c r="D220" s="55" t="s">
        <v>283</v>
      </c>
      <c r="E220" s="69" t="s">
        <v>769</v>
      </c>
      <c r="H220" s="89">
        <f t="shared" si="12"/>
        <v>52400040</v>
      </c>
    </row>
    <row r="221" spans="2:8" s="3" customFormat="1" outlineLevel="1" x14ac:dyDescent="0.35">
      <c r="B221" s="68">
        <v>52400060</v>
      </c>
      <c r="C221" s="51" t="s">
        <v>255</v>
      </c>
      <c r="D221" s="55" t="s">
        <v>283</v>
      </c>
      <c r="E221" s="69" t="s">
        <v>769</v>
      </c>
      <c r="H221" s="89">
        <f t="shared" si="12"/>
        <v>52400060</v>
      </c>
    </row>
    <row r="222" spans="2:8" s="3" customFormat="1" outlineLevel="1" x14ac:dyDescent="0.35">
      <c r="B222" s="68">
        <v>52500010</v>
      </c>
      <c r="C222" s="51" t="s">
        <v>117</v>
      </c>
      <c r="D222" s="55" t="s">
        <v>117</v>
      </c>
      <c r="E222" s="69" t="s">
        <v>769</v>
      </c>
      <c r="H222" s="89">
        <f t="shared" si="12"/>
        <v>52500010</v>
      </c>
    </row>
    <row r="223" spans="2:8" s="3" customFormat="1" outlineLevel="1" x14ac:dyDescent="0.35">
      <c r="B223" s="68">
        <v>52600020</v>
      </c>
      <c r="C223" s="51" t="s">
        <v>120</v>
      </c>
      <c r="D223" s="55" t="s">
        <v>284</v>
      </c>
      <c r="E223" s="69" t="s">
        <v>769</v>
      </c>
      <c r="H223" s="89">
        <f t="shared" si="12"/>
        <v>52600020</v>
      </c>
    </row>
    <row r="224" spans="2:8" s="3" customFormat="1" outlineLevel="1" x14ac:dyDescent="0.35">
      <c r="B224" s="68">
        <v>52600030</v>
      </c>
      <c r="C224" s="51" t="s">
        <v>121</v>
      </c>
      <c r="D224" s="55" t="s">
        <v>284</v>
      </c>
      <c r="E224" s="69" t="s">
        <v>769</v>
      </c>
      <c r="H224" s="89">
        <f t="shared" si="12"/>
        <v>52600030</v>
      </c>
    </row>
    <row r="225" spans="2:9" s="3" customFormat="1" outlineLevel="1" x14ac:dyDescent="0.35">
      <c r="B225" s="68">
        <v>52900010</v>
      </c>
      <c r="C225" s="51" t="s">
        <v>122</v>
      </c>
      <c r="D225" s="55" t="s">
        <v>285</v>
      </c>
      <c r="E225" s="69" t="s">
        <v>769</v>
      </c>
      <c r="H225" s="89">
        <f t="shared" si="12"/>
        <v>52900010</v>
      </c>
    </row>
    <row r="226" spans="2:9" s="3" customFormat="1" outlineLevel="1" x14ac:dyDescent="0.35">
      <c r="B226" s="68">
        <v>52900020</v>
      </c>
      <c r="C226" s="51" t="s">
        <v>124</v>
      </c>
      <c r="D226" s="55" t="s">
        <v>285</v>
      </c>
      <c r="E226" s="69" t="s">
        <v>769</v>
      </c>
      <c r="H226" s="89">
        <f t="shared" si="12"/>
        <v>52900020</v>
      </c>
    </row>
    <row r="227" spans="2:9" s="3" customFormat="1" outlineLevel="1" x14ac:dyDescent="0.35">
      <c r="B227" s="68">
        <v>53100010</v>
      </c>
      <c r="C227" s="51" t="s">
        <v>258</v>
      </c>
      <c r="D227" s="55" t="s">
        <v>258</v>
      </c>
      <c r="E227" s="69" t="s">
        <v>769</v>
      </c>
      <c r="H227" s="89">
        <f t="shared" si="12"/>
        <v>53100010</v>
      </c>
    </row>
    <row r="228" spans="2:9" s="3" customFormat="1" outlineLevel="1" x14ac:dyDescent="0.35">
      <c r="B228" s="71"/>
      <c r="C228" s="60"/>
      <c r="D228" s="61"/>
      <c r="E228" s="61"/>
      <c r="H228" s="89"/>
      <c r="I228" s="89"/>
    </row>
    <row r="229" spans="2:9" s="3" customFormat="1" outlineLevel="1" x14ac:dyDescent="0.35">
      <c r="H229" s="89"/>
      <c r="I229" s="89"/>
    </row>
    <row r="230" spans="2:9" s="3" customFormat="1" outlineLevel="1" x14ac:dyDescent="0.35">
      <c r="H230" s="89"/>
      <c r="I230" s="89"/>
    </row>
    <row r="231" spans="2:9" s="3" customFormat="1" x14ac:dyDescent="0.35">
      <c r="B231" s="37" t="s">
        <v>848</v>
      </c>
      <c r="H231" s="89"/>
      <c r="I231" s="89"/>
    </row>
    <row r="232" spans="2:9" s="3" customFormat="1" outlineLevel="1" x14ac:dyDescent="0.35">
      <c r="B232" s="17" t="s">
        <v>762</v>
      </c>
      <c r="C232" s="17" t="s">
        <v>763</v>
      </c>
      <c r="D232" s="39" t="s">
        <v>765</v>
      </c>
      <c r="E232" s="39" t="s">
        <v>766</v>
      </c>
      <c r="H232" s="17" t="s">
        <v>762</v>
      </c>
      <c r="I232" s="17" t="s">
        <v>291</v>
      </c>
    </row>
    <row r="233" spans="2:9" s="3" customFormat="1" outlineLevel="1" x14ac:dyDescent="0.35">
      <c r="B233" s="68">
        <v>60100010</v>
      </c>
      <c r="C233" s="51" t="s">
        <v>43</v>
      </c>
      <c r="D233" s="69" t="s">
        <v>287</v>
      </c>
      <c r="E233" s="69" t="s">
        <v>34</v>
      </c>
      <c r="H233" s="89">
        <f t="shared" ref="H233:H299" si="13">B233</f>
        <v>60100010</v>
      </c>
      <c r="I233" s="3" t="s">
        <v>292</v>
      </c>
    </row>
    <row r="234" spans="2:9" s="3" customFormat="1" outlineLevel="1" x14ac:dyDescent="0.35">
      <c r="B234" s="68">
        <v>60100020</v>
      </c>
      <c r="C234" s="51" t="s">
        <v>44</v>
      </c>
      <c r="D234" s="70" t="s">
        <v>287</v>
      </c>
      <c r="E234" s="70" t="s">
        <v>34</v>
      </c>
      <c r="H234" s="89">
        <f t="shared" si="13"/>
        <v>60100020</v>
      </c>
      <c r="I234" s="3" t="s">
        <v>292</v>
      </c>
    </row>
    <row r="235" spans="2:9" s="3" customFormat="1" outlineLevel="1" x14ac:dyDescent="0.35">
      <c r="B235" s="68">
        <v>60100030</v>
      </c>
      <c r="C235" s="51" t="s">
        <v>45</v>
      </c>
      <c r="D235" s="51" t="s">
        <v>287</v>
      </c>
      <c r="E235" s="70" t="s">
        <v>34</v>
      </c>
      <c r="H235" s="89">
        <f t="shared" si="13"/>
        <v>60100030</v>
      </c>
      <c r="I235" s="3" t="s">
        <v>292</v>
      </c>
    </row>
    <row r="236" spans="2:9" s="3" customFormat="1" outlineLevel="1" x14ac:dyDescent="0.35">
      <c r="B236" s="68">
        <v>60100040</v>
      </c>
      <c r="C236" s="51" t="s">
        <v>46</v>
      </c>
      <c r="D236" s="51" t="s">
        <v>287</v>
      </c>
      <c r="E236" s="70" t="s">
        <v>34</v>
      </c>
      <c r="H236" s="89">
        <f t="shared" si="13"/>
        <v>60100040</v>
      </c>
      <c r="I236" s="3" t="s">
        <v>292</v>
      </c>
    </row>
    <row r="237" spans="2:9" s="3" customFormat="1" outlineLevel="1" x14ac:dyDescent="0.35">
      <c r="B237" s="68">
        <v>60100050</v>
      </c>
      <c r="C237" s="51" t="s">
        <v>47</v>
      </c>
      <c r="D237" s="51" t="s">
        <v>287</v>
      </c>
      <c r="E237" s="70" t="s">
        <v>34</v>
      </c>
      <c r="H237" s="89">
        <f t="shared" si="13"/>
        <v>60100050</v>
      </c>
      <c r="I237" s="3" t="s">
        <v>292</v>
      </c>
    </row>
    <row r="238" spans="2:9" s="3" customFormat="1" outlineLevel="1" x14ac:dyDescent="0.35">
      <c r="B238" s="68">
        <v>60100060</v>
      </c>
      <c r="C238" s="51" t="s">
        <v>48</v>
      </c>
      <c r="D238" s="51" t="s">
        <v>287</v>
      </c>
      <c r="E238" s="70" t="s">
        <v>34</v>
      </c>
      <c r="H238" s="89">
        <f t="shared" si="13"/>
        <v>60100060</v>
      </c>
      <c r="I238" s="3" t="s">
        <v>292</v>
      </c>
    </row>
    <row r="239" spans="2:9" s="3" customFormat="1" outlineLevel="1" x14ac:dyDescent="0.35">
      <c r="B239" s="68">
        <v>60100070</v>
      </c>
      <c r="C239" s="51" t="s">
        <v>49</v>
      </c>
      <c r="D239" s="51" t="s">
        <v>287</v>
      </c>
      <c r="E239" s="70" t="s">
        <v>34</v>
      </c>
      <c r="H239" s="89">
        <f t="shared" si="13"/>
        <v>60100070</v>
      </c>
      <c r="I239" s="3" t="s">
        <v>292</v>
      </c>
    </row>
    <row r="240" spans="2:9" s="3" customFormat="1" outlineLevel="1" x14ac:dyDescent="0.35">
      <c r="B240" s="68">
        <v>60100080</v>
      </c>
      <c r="C240" s="51" t="s">
        <v>50</v>
      </c>
      <c r="D240" s="55" t="s">
        <v>287</v>
      </c>
      <c r="E240" s="70" t="s">
        <v>34</v>
      </c>
      <c r="H240" s="89">
        <f t="shared" si="13"/>
        <v>60100080</v>
      </c>
      <c r="I240" s="3" t="s">
        <v>292</v>
      </c>
    </row>
    <row r="241" spans="2:9" s="3" customFormat="1" outlineLevel="1" x14ac:dyDescent="0.35">
      <c r="B241" s="68">
        <v>60100090</v>
      </c>
      <c r="C241" s="51" t="s">
        <v>51</v>
      </c>
      <c r="D241" s="55" t="s">
        <v>287</v>
      </c>
      <c r="E241" s="70" t="s">
        <v>34</v>
      </c>
      <c r="H241" s="89">
        <f t="shared" si="13"/>
        <v>60100090</v>
      </c>
      <c r="I241" s="3" t="s">
        <v>292</v>
      </c>
    </row>
    <row r="242" spans="2:9" s="3" customFormat="1" outlineLevel="1" x14ac:dyDescent="0.35">
      <c r="B242" s="68">
        <v>60100100</v>
      </c>
      <c r="C242" s="51" t="s">
        <v>52</v>
      </c>
      <c r="D242" s="55" t="s">
        <v>287</v>
      </c>
      <c r="E242" s="70" t="s">
        <v>34</v>
      </c>
      <c r="H242" s="89">
        <f t="shared" si="13"/>
        <v>60100100</v>
      </c>
      <c r="I242" s="3" t="s">
        <v>292</v>
      </c>
    </row>
    <row r="243" spans="2:9" s="3" customFormat="1" outlineLevel="1" x14ac:dyDescent="0.35">
      <c r="B243" s="68">
        <v>60100110</v>
      </c>
      <c r="C243" s="51" t="s">
        <v>53</v>
      </c>
      <c r="D243" s="55" t="s">
        <v>287</v>
      </c>
      <c r="E243" s="70" t="s">
        <v>34</v>
      </c>
      <c r="H243" s="89">
        <f t="shared" si="13"/>
        <v>60100110</v>
      </c>
      <c r="I243" s="3" t="s">
        <v>292</v>
      </c>
    </row>
    <row r="244" spans="2:9" s="3" customFormat="1" outlineLevel="1" x14ac:dyDescent="0.35">
      <c r="B244" s="68">
        <v>60100120</v>
      </c>
      <c r="C244" s="51" t="s">
        <v>860</v>
      </c>
      <c r="D244" s="55" t="s">
        <v>287</v>
      </c>
      <c r="E244" s="70" t="s">
        <v>34</v>
      </c>
      <c r="H244" s="89">
        <f t="shared" si="13"/>
        <v>60100120</v>
      </c>
      <c r="I244" s="3" t="s">
        <v>292</v>
      </c>
    </row>
    <row r="245" spans="2:9" s="3" customFormat="1" outlineLevel="1" x14ac:dyDescent="0.35">
      <c r="B245" s="68">
        <v>60100990</v>
      </c>
      <c r="C245" s="51" t="s">
        <v>54</v>
      </c>
      <c r="D245" s="55" t="s">
        <v>287</v>
      </c>
      <c r="E245" s="70" t="s">
        <v>34</v>
      </c>
      <c r="H245" s="89">
        <f t="shared" si="13"/>
        <v>60100990</v>
      </c>
      <c r="I245" s="3" t="s">
        <v>292</v>
      </c>
    </row>
    <row r="246" spans="2:9" s="3" customFormat="1" outlineLevel="1" x14ac:dyDescent="0.35">
      <c r="B246" s="68">
        <v>60200010</v>
      </c>
      <c r="C246" s="51" t="s">
        <v>55</v>
      </c>
      <c r="D246" s="55" t="s">
        <v>267</v>
      </c>
      <c r="E246" s="70" t="s">
        <v>34</v>
      </c>
      <c r="H246" s="89">
        <f t="shared" si="13"/>
        <v>60200010</v>
      </c>
      <c r="I246" s="3" t="s">
        <v>294</v>
      </c>
    </row>
    <row r="247" spans="2:9" s="3" customFormat="1" outlineLevel="1" x14ac:dyDescent="0.35">
      <c r="B247" s="68">
        <v>60300010</v>
      </c>
      <c r="C247" s="51" t="s">
        <v>57</v>
      </c>
      <c r="D247" s="55" t="s">
        <v>288</v>
      </c>
      <c r="E247" s="70" t="s">
        <v>34</v>
      </c>
      <c r="H247" s="89">
        <f t="shared" si="13"/>
        <v>60300010</v>
      </c>
      <c r="I247" s="3" t="s">
        <v>268</v>
      </c>
    </row>
    <row r="248" spans="2:9" s="3" customFormat="1" outlineLevel="1" x14ac:dyDescent="0.35">
      <c r="B248" s="68">
        <v>60600010</v>
      </c>
      <c r="C248" s="51" t="s">
        <v>228</v>
      </c>
      <c r="D248" s="55" t="s">
        <v>269</v>
      </c>
      <c r="E248" s="69" t="s">
        <v>59</v>
      </c>
      <c r="H248" s="89">
        <f t="shared" si="13"/>
        <v>60600010</v>
      </c>
      <c r="I248" s="3" t="s">
        <v>269</v>
      </c>
    </row>
    <row r="249" spans="2:9" s="3" customFormat="1" outlineLevel="1" x14ac:dyDescent="0.35">
      <c r="B249" s="68">
        <v>60600020</v>
      </c>
      <c r="C249" s="51" t="s">
        <v>229</v>
      </c>
      <c r="D249" s="55" t="s">
        <v>269</v>
      </c>
      <c r="E249" s="69" t="s">
        <v>59</v>
      </c>
      <c r="H249" s="89">
        <f t="shared" si="13"/>
        <v>60600020</v>
      </c>
      <c r="I249" s="3" t="s">
        <v>269</v>
      </c>
    </row>
    <row r="250" spans="2:9" s="3" customFormat="1" outlineLevel="1" x14ac:dyDescent="0.35">
      <c r="B250" s="68">
        <v>60600030</v>
      </c>
      <c r="C250" s="51" t="s">
        <v>230</v>
      </c>
      <c r="D250" s="55" t="s">
        <v>269</v>
      </c>
      <c r="E250" s="69" t="s">
        <v>59</v>
      </c>
      <c r="H250" s="89">
        <f t="shared" si="13"/>
        <v>60600030</v>
      </c>
      <c r="I250" s="3" t="s">
        <v>269</v>
      </c>
    </row>
    <row r="251" spans="2:9" s="3" customFormat="1" outlineLevel="1" x14ac:dyDescent="0.35">
      <c r="B251" s="68">
        <v>60600050</v>
      </c>
      <c r="C251" s="51" t="s">
        <v>61</v>
      </c>
      <c r="D251" s="55" t="s">
        <v>269</v>
      </c>
      <c r="E251" s="69" t="s">
        <v>769</v>
      </c>
      <c r="H251" s="89">
        <f t="shared" si="13"/>
        <v>60600050</v>
      </c>
      <c r="I251" s="3" t="s">
        <v>269</v>
      </c>
    </row>
    <row r="252" spans="2:9" s="3" customFormat="1" outlineLevel="1" x14ac:dyDescent="0.35">
      <c r="B252" s="68">
        <v>60700010</v>
      </c>
      <c r="C252" s="51" t="s">
        <v>62</v>
      </c>
      <c r="D252" s="55" t="s">
        <v>62</v>
      </c>
      <c r="E252" s="69" t="s">
        <v>59</v>
      </c>
      <c r="H252" s="89">
        <f t="shared" ref="H252" si="14">B252</f>
        <v>60700010</v>
      </c>
      <c r="I252" s="3" t="s">
        <v>62</v>
      </c>
    </row>
    <row r="253" spans="2:9" s="3" customFormat="1" outlineLevel="1" x14ac:dyDescent="0.35">
      <c r="B253" s="68">
        <v>60800010</v>
      </c>
      <c r="C253" s="51" t="s">
        <v>63</v>
      </c>
      <c r="D253" s="55" t="s">
        <v>289</v>
      </c>
      <c r="E253" s="69" t="s">
        <v>769</v>
      </c>
      <c r="H253" s="89">
        <f t="shared" si="13"/>
        <v>60800010</v>
      </c>
      <c r="I253" s="3" t="s">
        <v>295</v>
      </c>
    </row>
    <row r="254" spans="2:9" s="3" customFormat="1" outlineLevel="1" x14ac:dyDescent="0.35">
      <c r="B254" s="68">
        <v>60800020</v>
      </c>
      <c r="C254" s="51" t="s">
        <v>64</v>
      </c>
      <c r="D254" s="55" t="s">
        <v>289</v>
      </c>
      <c r="E254" s="69" t="s">
        <v>769</v>
      </c>
      <c r="H254" s="89">
        <f t="shared" si="13"/>
        <v>60800020</v>
      </c>
      <c r="I254" s="3" t="s">
        <v>295</v>
      </c>
    </row>
    <row r="255" spans="2:9" s="3" customFormat="1" outlineLevel="1" x14ac:dyDescent="0.35">
      <c r="B255" s="68">
        <v>60800030</v>
      </c>
      <c r="C255" s="51" t="s">
        <v>65</v>
      </c>
      <c r="D255" s="55" t="s">
        <v>289</v>
      </c>
      <c r="E255" s="69" t="s">
        <v>769</v>
      </c>
      <c r="H255" s="89">
        <f t="shared" si="13"/>
        <v>60800030</v>
      </c>
      <c r="I255" s="3" t="s">
        <v>295</v>
      </c>
    </row>
    <row r="256" spans="2:9" s="3" customFormat="1" outlineLevel="1" x14ac:dyDescent="0.35">
      <c r="B256" s="68">
        <v>60800040</v>
      </c>
      <c r="C256" s="51" t="s">
        <v>66</v>
      </c>
      <c r="D256" s="55" t="s">
        <v>289</v>
      </c>
      <c r="E256" s="69" t="s">
        <v>769</v>
      </c>
      <c r="H256" s="89">
        <f t="shared" si="13"/>
        <v>60800040</v>
      </c>
      <c r="I256" s="3" t="s">
        <v>295</v>
      </c>
    </row>
    <row r="257" spans="2:9" s="3" customFormat="1" outlineLevel="1" x14ac:dyDescent="0.35">
      <c r="B257" s="68">
        <v>60800050</v>
      </c>
      <c r="C257" s="51" t="s">
        <v>67</v>
      </c>
      <c r="D257" s="55" t="s">
        <v>289</v>
      </c>
      <c r="E257" s="69" t="s">
        <v>769</v>
      </c>
      <c r="H257" s="89">
        <f t="shared" si="13"/>
        <v>60800050</v>
      </c>
      <c r="I257" s="3" t="s">
        <v>295</v>
      </c>
    </row>
    <row r="258" spans="2:9" s="3" customFormat="1" outlineLevel="1" x14ac:dyDescent="0.35">
      <c r="B258" s="68">
        <v>60800060</v>
      </c>
      <c r="C258" s="51" t="s">
        <v>68</v>
      </c>
      <c r="D258" s="55" t="s">
        <v>289</v>
      </c>
      <c r="E258" s="69" t="s">
        <v>769</v>
      </c>
      <c r="H258" s="89">
        <f t="shared" si="13"/>
        <v>60800060</v>
      </c>
      <c r="I258" s="3" t="s">
        <v>295</v>
      </c>
    </row>
    <row r="259" spans="2:9" s="3" customFormat="1" outlineLevel="1" x14ac:dyDescent="0.35">
      <c r="B259" s="68">
        <v>60800070</v>
      </c>
      <c r="C259" s="51" t="s">
        <v>69</v>
      </c>
      <c r="D259" s="55" t="s">
        <v>289</v>
      </c>
      <c r="E259" s="69" t="s">
        <v>769</v>
      </c>
      <c r="H259" s="89">
        <f t="shared" si="13"/>
        <v>60800070</v>
      </c>
      <c r="I259" s="3" t="s">
        <v>295</v>
      </c>
    </row>
    <row r="260" spans="2:9" s="3" customFormat="1" outlineLevel="1" x14ac:dyDescent="0.35">
      <c r="B260" s="68">
        <v>60800080</v>
      </c>
      <c r="C260" s="51" t="s">
        <v>70</v>
      </c>
      <c r="D260" s="55" t="s">
        <v>289</v>
      </c>
      <c r="E260" s="69" t="s">
        <v>769</v>
      </c>
      <c r="H260" s="89">
        <f t="shared" si="13"/>
        <v>60800080</v>
      </c>
      <c r="I260" s="3" t="s">
        <v>295</v>
      </c>
    </row>
    <row r="261" spans="2:9" s="3" customFormat="1" outlineLevel="1" x14ac:dyDescent="0.35">
      <c r="B261" s="68">
        <v>61100010</v>
      </c>
      <c r="C261" s="51" t="s">
        <v>232</v>
      </c>
      <c r="D261" s="55" t="s">
        <v>271</v>
      </c>
      <c r="E261" s="69" t="s">
        <v>649</v>
      </c>
      <c r="H261" s="89">
        <f t="shared" si="13"/>
        <v>61100010</v>
      </c>
      <c r="I261" s="3" t="s">
        <v>271</v>
      </c>
    </row>
    <row r="262" spans="2:9" s="3" customFormat="1" outlineLevel="1" x14ac:dyDescent="0.35">
      <c r="B262" s="68">
        <v>61200010</v>
      </c>
      <c r="C262" s="51" t="s">
        <v>233</v>
      </c>
      <c r="D262" s="55" t="s">
        <v>272</v>
      </c>
      <c r="E262" s="69" t="s">
        <v>867</v>
      </c>
      <c r="H262" s="89">
        <f t="shared" si="13"/>
        <v>61200010</v>
      </c>
      <c r="I262" s="3" t="s">
        <v>296</v>
      </c>
    </row>
    <row r="263" spans="2:9" s="3" customFormat="1" outlineLevel="1" x14ac:dyDescent="0.35">
      <c r="B263" s="68">
        <v>61200020</v>
      </c>
      <c r="C263" s="51" t="s">
        <v>234</v>
      </c>
      <c r="D263" s="55" t="s">
        <v>272</v>
      </c>
      <c r="E263" s="69" t="s">
        <v>867</v>
      </c>
      <c r="H263" s="89">
        <f t="shared" si="13"/>
        <v>61200020</v>
      </c>
      <c r="I263" s="3" t="s">
        <v>296</v>
      </c>
    </row>
    <row r="264" spans="2:9" s="3" customFormat="1" outlineLevel="1" x14ac:dyDescent="0.35">
      <c r="B264" s="68">
        <v>61200030</v>
      </c>
      <c r="C264" s="51" t="s">
        <v>235</v>
      </c>
      <c r="D264" s="55" t="s">
        <v>272</v>
      </c>
      <c r="E264" s="69" t="s">
        <v>867</v>
      </c>
      <c r="H264" s="89">
        <f t="shared" si="13"/>
        <v>61200030</v>
      </c>
      <c r="I264" s="3" t="s">
        <v>296</v>
      </c>
    </row>
    <row r="265" spans="2:9" s="3" customFormat="1" outlineLevel="1" x14ac:dyDescent="0.35">
      <c r="B265" s="68">
        <v>61200040</v>
      </c>
      <c r="C265" s="51" t="s">
        <v>236</v>
      </c>
      <c r="D265" s="55" t="s">
        <v>272</v>
      </c>
      <c r="E265" s="69" t="s">
        <v>867</v>
      </c>
      <c r="H265" s="89">
        <f t="shared" si="13"/>
        <v>61200040</v>
      </c>
      <c r="I265" s="3" t="s">
        <v>296</v>
      </c>
    </row>
    <row r="266" spans="2:9" s="3" customFormat="1" outlineLevel="1" x14ac:dyDescent="0.35">
      <c r="B266" s="68">
        <v>61200050</v>
      </c>
      <c r="C266" s="51" t="s">
        <v>237</v>
      </c>
      <c r="D266" s="55" t="s">
        <v>272</v>
      </c>
      <c r="E266" s="69" t="s">
        <v>867</v>
      </c>
      <c r="H266" s="89">
        <f t="shared" si="13"/>
        <v>61200050</v>
      </c>
      <c r="I266" s="3" t="s">
        <v>296</v>
      </c>
    </row>
    <row r="267" spans="2:9" s="3" customFormat="1" outlineLevel="1" x14ac:dyDescent="0.35">
      <c r="B267" s="68">
        <v>61200060</v>
      </c>
      <c r="C267" s="51" t="s">
        <v>238</v>
      </c>
      <c r="D267" s="55" t="s">
        <v>272</v>
      </c>
      <c r="E267" s="69" t="s">
        <v>867</v>
      </c>
      <c r="H267" s="89">
        <f t="shared" si="13"/>
        <v>61200060</v>
      </c>
      <c r="I267" s="3" t="s">
        <v>296</v>
      </c>
    </row>
    <row r="268" spans="2:9" s="3" customFormat="1" outlineLevel="1" x14ac:dyDescent="0.35">
      <c r="B268" s="68">
        <v>61200070</v>
      </c>
      <c r="C268" s="51" t="s">
        <v>239</v>
      </c>
      <c r="D268" s="55" t="s">
        <v>272</v>
      </c>
      <c r="E268" s="69" t="s">
        <v>867</v>
      </c>
      <c r="H268" s="89">
        <f t="shared" si="13"/>
        <v>61200070</v>
      </c>
      <c r="I268" s="3" t="s">
        <v>296</v>
      </c>
    </row>
    <row r="269" spans="2:9" s="3" customFormat="1" outlineLevel="1" x14ac:dyDescent="0.35">
      <c r="B269" s="68">
        <v>61200080</v>
      </c>
      <c r="C269" s="51" t="s">
        <v>240</v>
      </c>
      <c r="D269" s="55" t="s">
        <v>272</v>
      </c>
      <c r="E269" s="69" t="s">
        <v>867</v>
      </c>
      <c r="H269" s="89">
        <f t="shared" si="13"/>
        <v>61200080</v>
      </c>
      <c r="I269" s="3" t="s">
        <v>296</v>
      </c>
    </row>
    <row r="270" spans="2:9" s="3" customFormat="1" outlineLevel="1" x14ac:dyDescent="0.35">
      <c r="B270" s="68">
        <v>61200090</v>
      </c>
      <c r="C270" s="51" t="s">
        <v>241</v>
      </c>
      <c r="D270" s="55" t="s">
        <v>272</v>
      </c>
      <c r="E270" s="69" t="s">
        <v>867</v>
      </c>
      <c r="H270" s="89">
        <f t="shared" si="13"/>
        <v>61200090</v>
      </c>
      <c r="I270" s="3" t="s">
        <v>296</v>
      </c>
    </row>
    <row r="271" spans="2:9" s="3" customFormat="1" outlineLevel="1" x14ac:dyDescent="0.35">
      <c r="B271" s="68">
        <v>61300010</v>
      </c>
      <c r="C271" s="51" t="s">
        <v>242</v>
      </c>
      <c r="D271" s="55" t="s">
        <v>273</v>
      </c>
      <c r="E271" s="69" t="s">
        <v>867</v>
      </c>
      <c r="H271" s="89">
        <f t="shared" si="13"/>
        <v>61300010</v>
      </c>
      <c r="I271" s="3" t="s">
        <v>297</v>
      </c>
    </row>
    <row r="272" spans="2:9" s="3" customFormat="1" outlineLevel="1" x14ac:dyDescent="0.35">
      <c r="B272" s="68">
        <v>61300020</v>
      </c>
      <c r="C272" s="51" t="s">
        <v>243</v>
      </c>
      <c r="D272" s="55" t="s">
        <v>273</v>
      </c>
      <c r="E272" s="69" t="s">
        <v>867</v>
      </c>
      <c r="H272" s="89">
        <f t="shared" si="13"/>
        <v>61300020</v>
      </c>
      <c r="I272" s="3" t="s">
        <v>297</v>
      </c>
    </row>
    <row r="273" spans="2:9" s="3" customFormat="1" outlineLevel="1" x14ac:dyDescent="0.35">
      <c r="B273" s="68">
        <v>61300030</v>
      </c>
      <c r="C273" s="51" t="s">
        <v>244</v>
      </c>
      <c r="D273" s="55" t="s">
        <v>273</v>
      </c>
      <c r="E273" s="69" t="s">
        <v>867</v>
      </c>
      <c r="H273" s="89">
        <f t="shared" si="13"/>
        <v>61300030</v>
      </c>
      <c r="I273" s="3" t="s">
        <v>297</v>
      </c>
    </row>
    <row r="274" spans="2:9" s="3" customFormat="1" outlineLevel="1" x14ac:dyDescent="0.35">
      <c r="B274" s="68">
        <v>61300040</v>
      </c>
      <c r="C274" s="51" t="s">
        <v>245</v>
      </c>
      <c r="D274" s="55" t="s">
        <v>273</v>
      </c>
      <c r="E274" s="69" t="s">
        <v>867</v>
      </c>
      <c r="H274" s="89">
        <f t="shared" si="13"/>
        <v>61300040</v>
      </c>
      <c r="I274" s="3" t="s">
        <v>297</v>
      </c>
    </row>
    <row r="275" spans="2:9" s="3" customFormat="1" outlineLevel="1" x14ac:dyDescent="0.35">
      <c r="B275" s="68">
        <v>61300050</v>
      </c>
      <c r="C275" s="51" t="s">
        <v>246</v>
      </c>
      <c r="D275" s="55" t="s">
        <v>273</v>
      </c>
      <c r="E275" s="69" t="s">
        <v>867</v>
      </c>
      <c r="H275" s="89">
        <f t="shared" si="13"/>
        <v>61300050</v>
      </c>
      <c r="I275" s="3" t="s">
        <v>297</v>
      </c>
    </row>
    <row r="276" spans="2:9" s="3" customFormat="1" outlineLevel="1" x14ac:dyDescent="0.35">
      <c r="B276" s="68">
        <v>61300060</v>
      </c>
      <c r="C276" s="51" t="s">
        <v>247</v>
      </c>
      <c r="D276" s="55" t="s">
        <v>273</v>
      </c>
      <c r="E276" s="69" t="s">
        <v>867</v>
      </c>
      <c r="H276" s="89">
        <f t="shared" si="13"/>
        <v>61300060</v>
      </c>
      <c r="I276" s="3" t="s">
        <v>297</v>
      </c>
    </row>
    <row r="277" spans="2:9" s="3" customFormat="1" outlineLevel="1" x14ac:dyDescent="0.35">
      <c r="B277" s="68">
        <v>61300070</v>
      </c>
      <c r="C277" s="51" t="s">
        <v>248</v>
      </c>
      <c r="D277" s="55" t="s">
        <v>273</v>
      </c>
      <c r="E277" s="69" t="s">
        <v>867</v>
      </c>
      <c r="H277" s="89">
        <f t="shared" si="13"/>
        <v>61300070</v>
      </c>
      <c r="I277" s="3" t="s">
        <v>297</v>
      </c>
    </row>
    <row r="278" spans="2:9" s="3" customFormat="1" outlineLevel="1" x14ac:dyDescent="0.35">
      <c r="B278" s="68">
        <v>61300080</v>
      </c>
      <c r="C278" s="51" t="s">
        <v>249</v>
      </c>
      <c r="D278" s="55" t="s">
        <v>273</v>
      </c>
      <c r="E278" s="69" t="s">
        <v>867</v>
      </c>
      <c r="H278" s="89">
        <f t="shared" si="13"/>
        <v>61300080</v>
      </c>
      <c r="I278" s="3" t="s">
        <v>297</v>
      </c>
    </row>
    <row r="279" spans="2:9" s="3" customFormat="1" outlineLevel="1" x14ac:dyDescent="0.35">
      <c r="B279" s="68">
        <v>61300090</v>
      </c>
      <c r="C279" s="51" t="s">
        <v>250</v>
      </c>
      <c r="D279" s="55" t="s">
        <v>273</v>
      </c>
      <c r="E279" s="69" t="s">
        <v>867</v>
      </c>
      <c r="H279" s="89">
        <f t="shared" si="13"/>
        <v>61300090</v>
      </c>
      <c r="I279" s="3" t="s">
        <v>297</v>
      </c>
    </row>
    <row r="280" spans="2:9" s="3" customFormat="1" ht="29" outlineLevel="1" x14ac:dyDescent="0.35">
      <c r="B280" s="68">
        <v>61400010</v>
      </c>
      <c r="C280" s="51" t="s">
        <v>71</v>
      </c>
      <c r="D280" s="55" t="s">
        <v>274</v>
      </c>
      <c r="E280" s="69" t="s">
        <v>886</v>
      </c>
      <c r="H280" s="89">
        <f t="shared" si="13"/>
        <v>61400010</v>
      </c>
      <c r="I280" s="3" t="s">
        <v>298</v>
      </c>
    </row>
    <row r="281" spans="2:9" s="3" customFormat="1" outlineLevel="1" x14ac:dyDescent="0.35">
      <c r="B281" s="68">
        <v>61400020</v>
      </c>
      <c r="C281" s="51" t="s">
        <v>251</v>
      </c>
      <c r="D281" s="55" t="s">
        <v>274</v>
      </c>
      <c r="E281" s="69" t="s">
        <v>886</v>
      </c>
      <c r="H281" s="89">
        <f t="shared" si="13"/>
        <v>61400020</v>
      </c>
      <c r="I281" s="3" t="s">
        <v>298</v>
      </c>
    </row>
    <row r="282" spans="2:9" s="3" customFormat="1" outlineLevel="1" x14ac:dyDescent="0.35">
      <c r="B282" s="68">
        <v>61400030</v>
      </c>
      <c r="C282" s="51" t="s">
        <v>252</v>
      </c>
      <c r="D282" s="55" t="s">
        <v>274</v>
      </c>
      <c r="E282" s="69" t="s">
        <v>886</v>
      </c>
      <c r="H282" s="89">
        <f t="shared" si="13"/>
        <v>61400030</v>
      </c>
      <c r="I282" s="3" t="s">
        <v>298</v>
      </c>
    </row>
    <row r="283" spans="2:9" s="3" customFormat="1" outlineLevel="1" x14ac:dyDescent="0.35">
      <c r="B283" s="68">
        <v>61500010</v>
      </c>
      <c r="C283" s="51" t="s">
        <v>72</v>
      </c>
      <c r="D283" s="55" t="s">
        <v>275</v>
      </c>
      <c r="E283" s="69" t="s">
        <v>769</v>
      </c>
      <c r="H283" s="89">
        <f t="shared" si="13"/>
        <v>61500010</v>
      </c>
      <c r="I283" s="3" t="s">
        <v>299</v>
      </c>
    </row>
    <row r="284" spans="2:9" s="3" customFormat="1" outlineLevel="1" x14ac:dyDescent="0.35">
      <c r="B284" s="68">
        <v>61500020</v>
      </c>
      <c r="C284" s="51" t="s">
        <v>73</v>
      </c>
      <c r="D284" s="55" t="s">
        <v>275</v>
      </c>
      <c r="E284" s="69" t="s">
        <v>34</v>
      </c>
      <c r="H284" s="89">
        <f t="shared" si="13"/>
        <v>61500020</v>
      </c>
      <c r="I284" s="3" t="s">
        <v>299</v>
      </c>
    </row>
    <row r="285" spans="2:9" s="3" customFormat="1" ht="29" outlineLevel="1" x14ac:dyDescent="0.35">
      <c r="B285" s="68">
        <v>61600010</v>
      </c>
      <c r="C285" s="51" t="s">
        <v>889</v>
      </c>
      <c r="D285" s="55" t="s">
        <v>276</v>
      </c>
      <c r="E285" s="69" t="s">
        <v>59</v>
      </c>
      <c r="H285" s="89">
        <f t="shared" si="13"/>
        <v>61600010</v>
      </c>
      <c r="I285" s="3" t="s">
        <v>300</v>
      </c>
    </row>
    <row r="286" spans="2:9" s="3" customFormat="1" outlineLevel="1" x14ac:dyDescent="0.35">
      <c r="B286" s="68">
        <v>61600030</v>
      </c>
      <c r="C286" s="51" t="s">
        <v>76</v>
      </c>
      <c r="D286" s="55" t="s">
        <v>276</v>
      </c>
      <c r="E286" s="69" t="s">
        <v>59</v>
      </c>
      <c r="H286" s="89">
        <f t="shared" si="13"/>
        <v>61600030</v>
      </c>
      <c r="I286" s="3" t="s">
        <v>300</v>
      </c>
    </row>
    <row r="287" spans="2:9" s="3" customFormat="1" ht="29" outlineLevel="1" x14ac:dyDescent="0.35">
      <c r="B287" s="68">
        <v>61600040</v>
      </c>
      <c r="C287" s="51" t="s">
        <v>77</v>
      </c>
      <c r="D287" s="55" t="s">
        <v>276</v>
      </c>
      <c r="E287" s="69" t="s">
        <v>59</v>
      </c>
      <c r="H287" s="89">
        <f t="shared" si="13"/>
        <v>61600040</v>
      </c>
      <c r="I287" s="3" t="s">
        <v>300</v>
      </c>
    </row>
    <row r="288" spans="2:9" s="3" customFormat="1" ht="29" outlineLevel="1" x14ac:dyDescent="0.35">
      <c r="B288" s="68">
        <v>61600050</v>
      </c>
      <c r="C288" s="51" t="s">
        <v>893</v>
      </c>
      <c r="D288" s="55" t="s">
        <v>276</v>
      </c>
      <c r="E288" s="69" t="s">
        <v>59</v>
      </c>
      <c r="H288" s="89">
        <f t="shared" si="13"/>
        <v>61600050</v>
      </c>
      <c r="I288" s="3" t="s">
        <v>300</v>
      </c>
    </row>
    <row r="289" spans="2:9" s="3" customFormat="1" outlineLevel="1" x14ac:dyDescent="0.35">
      <c r="B289" s="68">
        <v>61600060</v>
      </c>
      <c r="C289" s="51" t="s">
        <v>895</v>
      </c>
      <c r="D289" s="55" t="s">
        <v>276</v>
      </c>
      <c r="E289" s="69" t="s">
        <v>34</v>
      </c>
      <c r="H289" s="89">
        <f t="shared" si="13"/>
        <v>61600060</v>
      </c>
      <c r="I289" s="3" t="s">
        <v>300</v>
      </c>
    </row>
    <row r="290" spans="2:9" s="3" customFormat="1" outlineLevel="1" x14ac:dyDescent="0.35">
      <c r="B290" s="68">
        <v>61600070</v>
      </c>
      <c r="C290" s="51" t="s">
        <v>78</v>
      </c>
      <c r="D290" s="55" t="s">
        <v>276</v>
      </c>
      <c r="E290" s="69" t="s">
        <v>769</v>
      </c>
      <c r="H290" s="89">
        <f t="shared" ref="H290" si="15">B290</f>
        <v>61600070</v>
      </c>
      <c r="I290" s="3" t="s">
        <v>300</v>
      </c>
    </row>
    <row r="291" spans="2:9" s="3" customFormat="1" outlineLevel="1" x14ac:dyDescent="0.35">
      <c r="B291" s="68">
        <v>61700010</v>
      </c>
      <c r="C291" s="51" t="s">
        <v>79</v>
      </c>
      <c r="D291" s="55" t="s">
        <v>277</v>
      </c>
      <c r="E291" s="69" t="s">
        <v>897</v>
      </c>
      <c r="H291" s="89">
        <f t="shared" si="13"/>
        <v>61700010</v>
      </c>
      <c r="I291" s="3" t="s">
        <v>301</v>
      </c>
    </row>
    <row r="292" spans="2:9" s="3" customFormat="1" outlineLevel="1" x14ac:dyDescent="0.35">
      <c r="B292" s="68">
        <v>61700030</v>
      </c>
      <c r="C292" s="51" t="s">
        <v>80</v>
      </c>
      <c r="D292" s="55" t="s">
        <v>277</v>
      </c>
      <c r="E292" s="69" t="s">
        <v>59</v>
      </c>
      <c r="H292" s="89">
        <f t="shared" si="13"/>
        <v>61700030</v>
      </c>
      <c r="I292" s="3" t="s">
        <v>301</v>
      </c>
    </row>
    <row r="293" spans="2:9" s="3" customFormat="1" outlineLevel="1" x14ac:dyDescent="0.35">
      <c r="B293" s="68">
        <v>61700040</v>
      </c>
      <c r="C293" s="51" t="s">
        <v>81</v>
      </c>
      <c r="D293" s="55" t="s">
        <v>277</v>
      </c>
      <c r="E293" s="69" t="s">
        <v>59</v>
      </c>
      <c r="H293" s="89">
        <f t="shared" si="13"/>
        <v>61700040</v>
      </c>
      <c r="I293" s="3" t="s">
        <v>301</v>
      </c>
    </row>
    <row r="294" spans="2:9" s="3" customFormat="1" outlineLevel="1" x14ac:dyDescent="0.35">
      <c r="B294" s="68">
        <v>61700050</v>
      </c>
      <c r="C294" s="51" t="s">
        <v>82</v>
      </c>
      <c r="D294" s="55" t="s">
        <v>277</v>
      </c>
      <c r="E294" s="69" t="s">
        <v>59</v>
      </c>
      <c r="H294" s="89">
        <f t="shared" si="13"/>
        <v>61700050</v>
      </c>
      <c r="I294" s="3" t="s">
        <v>301</v>
      </c>
    </row>
    <row r="295" spans="2:9" s="3" customFormat="1" outlineLevel="1" x14ac:dyDescent="0.35">
      <c r="B295" s="68">
        <v>61700060</v>
      </c>
      <c r="C295" s="51" t="s">
        <v>898</v>
      </c>
      <c r="D295" s="55" t="s">
        <v>277</v>
      </c>
      <c r="E295" s="69" t="s">
        <v>59</v>
      </c>
      <c r="H295" s="89">
        <f t="shared" si="13"/>
        <v>61700060</v>
      </c>
      <c r="I295" s="3" t="s">
        <v>301</v>
      </c>
    </row>
    <row r="296" spans="2:9" s="3" customFormat="1" outlineLevel="1" x14ac:dyDescent="0.35">
      <c r="B296" s="68">
        <v>61700070</v>
      </c>
      <c r="C296" s="51" t="s">
        <v>84</v>
      </c>
      <c r="D296" s="55" t="s">
        <v>277</v>
      </c>
      <c r="E296" s="69" t="s">
        <v>769</v>
      </c>
      <c r="H296" s="89">
        <f t="shared" si="13"/>
        <v>61700070</v>
      </c>
      <c r="I296" s="3" t="s">
        <v>301</v>
      </c>
    </row>
    <row r="297" spans="2:9" s="3" customFormat="1" ht="29" outlineLevel="1" x14ac:dyDescent="0.35">
      <c r="B297" s="68">
        <v>61800010</v>
      </c>
      <c r="C297" s="51" t="s">
        <v>85</v>
      </c>
      <c r="D297" s="55" t="s">
        <v>290</v>
      </c>
      <c r="E297" s="69" t="s">
        <v>769</v>
      </c>
      <c r="H297" s="89">
        <f t="shared" si="13"/>
        <v>61800010</v>
      </c>
      <c r="I297" s="3" t="s">
        <v>302</v>
      </c>
    </row>
    <row r="298" spans="2:9" s="3" customFormat="1" outlineLevel="1" x14ac:dyDescent="0.35">
      <c r="B298" s="68">
        <v>61800020</v>
      </c>
      <c r="C298" s="68" t="s">
        <v>86</v>
      </c>
      <c r="D298" s="68" t="s">
        <v>290</v>
      </c>
      <c r="E298" s="69" t="s">
        <v>769</v>
      </c>
      <c r="H298" s="89">
        <f t="shared" si="13"/>
        <v>61800020</v>
      </c>
      <c r="I298" s="3" t="s">
        <v>302</v>
      </c>
    </row>
    <row r="299" spans="2:9" s="3" customFormat="1" outlineLevel="1" x14ac:dyDescent="0.35">
      <c r="B299" s="68">
        <v>61800030</v>
      </c>
      <c r="C299" s="68" t="s">
        <v>87</v>
      </c>
      <c r="D299" s="68" t="s">
        <v>290</v>
      </c>
      <c r="E299" s="69" t="s">
        <v>769</v>
      </c>
      <c r="H299" s="89">
        <f t="shared" si="13"/>
        <v>61800030</v>
      </c>
      <c r="I299" s="3" t="s">
        <v>302</v>
      </c>
    </row>
    <row r="300" spans="2:9" s="3" customFormat="1" outlineLevel="1" x14ac:dyDescent="0.35">
      <c r="B300" s="68">
        <v>61800090</v>
      </c>
      <c r="C300" s="68" t="s">
        <v>88</v>
      </c>
      <c r="D300" s="68" t="s">
        <v>290</v>
      </c>
      <c r="E300" s="69" t="s">
        <v>769</v>
      </c>
      <c r="H300" s="89">
        <f t="shared" ref="H300:H331" si="16">B300</f>
        <v>61800090</v>
      </c>
      <c r="I300" s="3" t="s">
        <v>302</v>
      </c>
    </row>
    <row r="301" spans="2:9" s="3" customFormat="1" outlineLevel="1" x14ac:dyDescent="0.35">
      <c r="B301" s="68">
        <v>61900010</v>
      </c>
      <c r="C301" s="68" t="s">
        <v>89</v>
      </c>
      <c r="D301" s="68" t="s">
        <v>227</v>
      </c>
      <c r="E301" s="69" t="s">
        <v>769</v>
      </c>
      <c r="H301" s="89">
        <f t="shared" si="16"/>
        <v>61900010</v>
      </c>
      <c r="I301" s="3" t="s">
        <v>303</v>
      </c>
    </row>
    <row r="302" spans="2:9" s="3" customFormat="1" outlineLevel="1" x14ac:dyDescent="0.35">
      <c r="B302" s="68">
        <v>61900020</v>
      </c>
      <c r="C302" s="68" t="s">
        <v>91</v>
      </c>
      <c r="D302" s="68" t="s">
        <v>227</v>
      </c>
      <c r="E302" s="69" t="s">
        <v>769</v>
      </c>
      <c r="H302" s="89">
        <f t="shared" si="16"/>
        <v>61900020</v>
      </c>
      <c r="I302" s="3" t="s">
        <v>303</v>
      </c>
    </row>
    <row r="303" spans="2:9" s="3" customFormat="1" outlineLevel="1" x14ac:dyDescent="0.35">
      <c r="B303" s="68">
        <v>61900030</v>
      </c>
      <c r="C303" s="68" t="s">
        <v>92</v>
      </c>
      <c r="D303" s="68" t="s">
        <v>227</v>
      </c>
      <c r="E303" s="69" t="s">
        <v>769</v>
      </c>
      <c r="H303" s="89">
        <f t="shared" si="16"/>
        <v>61900030</v>
      </c>
      <c r="I303" s="3" t="s">
        <v>303</v>
      </c>
    </row>
    <row r="304" spans="2:9" s="3" customFormat="1" outlineLevel="1" x14ac:dyDescent="0.35">
      <c r="B304" s="68">
        <v>61900040</v>
      </c>
      <c r="C304" s="68" t="s">
        <v>93</v>
      </c>
      <c r="D304" s="68" t="s">
        <v>227</v>
      </c>
      <c r="E304" s="69" t="s">
        <v>769</v>
      </c>
      <c r="H304" s="89">
        <f t="shared" si="16"/>
        <v>61900040</v>
      </c>
      <c r="I304" s="3" t="s">
        <v>303</v>
      </c>
    </row>
    <row r="305" spans="2:9" s="3" customFormat="1" outlineLevel="1" x14ac:dyDescent="0.35">
      <c r="B305" s="68">
        <v>61900050</v>
      </c>
      <c r="C305" s="68" t="s">
        <v>327</v>
      </c>
      <c r="D305" s="68" t="s">
        <v>227</v>
      </c>
      <c r="E305" s="69" t="s">
        <v>769</v>
      </c>
      <c r="H305" s="89">
        <f t="shared" ref="H305" si="17">B305</f>
        <v>61900050</v>
      </c>
      <c r="I305" s="3" t="s">
        <v>303</v>
      </c>
    </row>
    <row r="306" spans="2:9" s="3" customFormat="1" outlineLevel="1" x14ac:dyDescent="0.35">
      <c r="B306" s="68">
        <v>61900090</v>
      </c>
      <c r="C306" s="68" t="s">
        <v>94</v>
      </c>
      <c r="D306" s="68" t="s">
        <v>227</v>
      </c>
      <c r="E306" s="69" t="s">
        <v>769</v>
      </c>
      <c r="H306" s="89">
        <f t="shared" si="16"/>
        <v>61900090</v>
      </c>
      <c r="I306" s="3" t="s">
        <v>303</v>
      </c>
    </row>
    <row r="307" spans="2:9" s="3" customFormat="1" outlineLevel="1" x14ac:dyDescent="0.35">
      <c r="B307" s="68">
        <v>62000010</v>
      </c>
      <c r="C307" s="68" t="s">
        <v>95</v>
      </c>
      <c r="D307" s="68" t="s">
        <v>279</v>
      </c>
      <c r="E307" s="68" t="s">
        <v>128</v>
      </c>
      <c r="H307" s="89">
        <f t="shared" si="16"/>
        <v>62000010</v>
      </c>
      <c r="I307" s="3" t="s">
        <v>304</v>
      </c>
    </row>
    <row r="308" spans="2:9" s="3" customFormat="1" ht="29" outlineLevel="1" x14ac:dyDescent="0.35">
      <c r="B308" s="68">
        <v>62000020</v>
      </c>
      <c r="C308" s="68" t="s">
        <v>96</v>
      </c>
      <c r="D308" s="68" t="s">
        <v>279</v>
      </c>
      <c r="E308" s="68" t="s">
        <v>905</v>
      </c>
      <c r="H308" s="89">
        <f t="shared" si="16"/>
        <v>62000020</v>
      </c>
      <c r="I308" s="3" t="s">
        <v>304</v>
      </c>
    </row>
    <row r="309" spans="2:9" s="3" customFormat="1" outlineLevel="1" x14ac:dyDescent="0.35">
      <c r="B309" s="68">
        <v>62000040</v>
      </c>
      <c r="C309" s="68" t="s">
        <v>97</v>
      </c>
      <c r="D309" s="68" t="s">
        <v>279</v>
      </c>
      <c r="E309" s="69" t="s">
        <v>769</v>
      </c>
      <c r="H309" s="89">
        <f t="shared" si="16"/>
        <v>62000040</v>
      </c>
      <c r="I309" s="3" t="s">
        <v>304</v>
      </c>
    </row>
    <row r="310" spans="2:9" s="3" customFormat="1" outlineLevel="1" x14ac:dyDescent="0.35">
      <c r="B310" s="68">
        <v>62100010</v>
      </c>
      <c r="C310" s="68" t="s">
        <v>98</v>
      </c>
      <c r="D310" s="68" t="s">
        <v>280</v>
      </c>
      <c r="E310" s="68" t="s">
        <v>90</v>
      </c>
      <c r="H310" s="89">
        <f t="shared" si="16"/>
        <v>62100010</v>
      </c>
      <c r="I310" s="3" t="s">
        <v>305</v>
      </c>
    </row>
    <row r="311" spans="2:9" s="3" customFormat="1" outlineLevel="1" x14ac:dyDescent="0.35">
      <c r="B311" s="68">
        <v>62100020</v>
      </c>
      <c r="C311" s="68" t="s">
        <v>100</v>
      </c>
      <c r="D311" s="68" t="s">
        <v>280</v>
      </c>
      <c r="E311" s="68" t="s">
        <v>90</v>
      </c>
      <c r="H311" s="89">
        <f t="shared" si="16"/>
        <v>62100020</v>
      </c>
      <c r="I311" s="3" t="s">
        <v>305</v>
      </c>
    </row>
    <row r="312" spans="2:9" s="3" customFormat="1" outlineLevel="1" x14ac:dyDescent="0.35">
      <c r="B312" s="68">
        <v>62100030</v>
      </c>
      <c r="C312" s="68" t="s">
        <v>101</v>
      </c>
      <c r="D312" s="68" t="s">
        <v>280</v>
      </c>
      <c r="E312" s="68" t="s">
        <v>90</v>
      </c>
      <c r="H312" s="89">
        <f t="shared" si="16"/>
        <v>62100030</v>
      </c>
      <c r="I312" s="3" t="s">
        <v>305</v>
      </c>
    </row>
    <row r="313" spans="2:9" s="3" customFormat="1" outlineLevel="1" x14ac:dyDescent="0.35">
      <c r="B313" s="68">
        <v>62100040</v>
      </c>
      <c r="C313" s="68" t="s">
        <v>103</v>
      </c>
      <c r="D313" s="68" t="s">
        <v>280</v>
      </c>
      <c r="E313" s="68" t="s">
        <v>90</v>
      </c>
      <c r="H313" s="89">
        <f t="shared" si="16"/>
        <v>62100040</v>
      </c>
      <c r="I313" s="3" t="s">
        <v>305</v>
      </c>
    </row>
    <row r="314" spans="2:9" s="3" customFormat="1" outlineLevel="1" x14ac:dyDescent="0.35">
      <c r="B314" s="68">
        <v>62100050</v>
      </c>
      <c r="C314" s="68" t="s">
        <v>254</v>
      </c>
      <c r="D314" s="68" t="s">
        <v>280</v>
      </c>
      <c r="E314" s="68" t="s">
        <v>90</v>
      </c>
      <c r="H314" s="89">
        <f t="shared" si="16"/>
        <v>62100050</v>
      </c>
      <c r="I314" s="3" t="s">
        <v>305</v>
      </c>
    </row>
    <row r="315" spans="2:9" s="3" customFormat="1" outlineLevel="1" x14ac:dyDescent="0.35">
      <c r="B315" s="68">
        <v>62200010</v>
      </c>
      <c r="C315" s="68" t="s">
        <v>106</v>
      </c>
      <c r="D315" s="68" t="s">
        <v>281</v>
      </c>
      <c r="E315" s="69" t="s">
        <v>769</v>
      </c>
      <c r="H315" s="89">
        <f t="shared" si="16"/>
        <v>62200010</v>
      </c>
      <c r="I315" s="3" t="s">
        <v>306</v>
      </c>
    </row>
    <row r="316" spans="2:9" s="3" customFormat="1" outlineLevel="1" x14ac:dyDescent="0.35">
      <c r="B316" s="68">
        <v>62200020</v>
      </c>
      <c r="C316" s="68" t="s">
        <v>108</v>
      </c>
      <c r="D316" s="68" t="s">
        <v>281</v>
      </c>
      <c r="E316" s="69" t="s">
        <v>769</v>
      </c>
      <c r="H316" s="89">
        <f t="shared" si="16"/>
        <v>62200020</v>
      </c>
      <c r="I316" s="3" t="s">
        <v>306</v>
      </c>
    </row>
    <row r="317" spans="2:9" s="3" customFormat="1" outlineLevel="1" x14ac:dyDescent="0.35">
      <c r="B317" s="68">
        <v>62300010</v>
      </c>
      <c r="C317" s="68" t="s">
        <v>110</v>
      </c>
      <c r="D317" s="68" t="s">
        <v>282</v>
      </c>
      <c r="E317" s="69" t="s">
        <v>769</v>
      </c>
      <c r="H317" s="89">
        <f t="shared" si="16"/>
        <v>62300010</v>
      </c>
      <c r="I317" s="3" t="s">
        <v>307</v>
      </c>
    </row>
    <row r="318" spans="2:9" s="3" customFormat="1" outlineLevel="1" x14ac:dyDescent="0.35">
      <c r="B318" s="68">
        <v>62300020</v>
      </c>
      <c r="C318" s="68" t="s">
        <v>112</v>
      </c>
      <c r="D318" s="68" t="s">
        <v>282</v>
      </c>
      <c r="E318" s="69" t="s">
        <v>769</v>
      </c>
      <c r="H318" s="89">
        <f t="shared" si="16"/>
        <v>62300020</v>
      </c>
      <c r="I318" s="3" t="s">
        <v>307</v>
      </c>
    </row>
    <row r="319" spans="2:9" s="3" customFormat="1" outlineLevel="1" x14ac:dyDescent="0.35">
      <c r="B319" s="68">
        <v>62400030</v>
      </c>
      <c r="C319" s="68" t="s">
        <v>114</v>
      </c>
      <c r="D319" s="68" t="s">
        <v>283</v>
      </c>
      <c r="E319" s="69" t="s">
        <v>769</v>
      </c>
      <c r="H319" s="89">
        <f t="shared" si="16"/>
        <v>62400030</v>
      </c>
      <c r="I319" s="3" t="s">
        <v>308</v>
      </c>
    </row>
    <row r="320" spans="2:9" s="3" customFormat="1" outlineLevel="1" x14ac:dyDescent="0.35">
      <c r="B320" s="68">
        <v>62400040</v>
      </c>
      <c r="C320" s="68" t="s">
        <v>116</v>
      </c>
      <c r="D320" s="68" t="s">
        <v>283</v>
      </c>
      <c r="E320" s="69" t="s">
        <v>769</v>
      </c>
      <c r="H320" s="89">
        <f t="shared" si="16"/>
        <v>62400040</v>
      </c>
      <c r="I320" s="3" t="s">
        <v>308</v>
      </c>
    </row>
    <row r="321" spans="2:9" s="3" customFormat="1" outlineLevel="1" x14ac:dyDescent="0.35">
      <c r="B321" s="68">
        <v>62400060</v>
      </c>
      <c r="C321" s="68" t="s">
        <v>255</v>
      </c>
      <c r="D321" s="68" t="s">
        <v>283</v>
      </c>
      <c r="E321" s="68" t="s">
        <v>128</v>
      </c>
      <c r="H321" s="89">
        <f t="shared" si="16"/>
        <v>62400060</v>
      </c>
      <c r="I321" s="3" t="s">
        <v>308</v>
      </c>
    </row>
    <row r="322" spans="2:9" s="3" customFormat="1" outlineLevel="1" x14ac:dyDescent="0.35">
      <c r="B322" s="68">
        <v>62500010</v>
      </c>
      <c r="C322" s="68" t="s">
        <v>117</v>
      </c>
      <c r="D322" s="68" t="s">
        <v>117</v>
      </c>
      <c r="E322" s="68" t="s">
        <v>16</v>
      </c>
      <c r="H322" s="89">
        <f t="shared" si="16"/>
        <v>62500010</v>
      </c>
      <c r="I322" s="3" t="s">
        <v>284</v>
      </c>
    </row>
    <row r="323" spans="2:9" s="3" customFormat="1" outlineLevel="1" x14ac:dyDescent="0.35">
      <c r="B323" s="68">
        <v>62600010</v>
      </c>
      <c r="C323" s="68" t="s">
        <v>119</v>
      </c>
      <c r="D323" s="68" t="s">
        <v>284</v>
      </c>
      <c r="E323" s="69" t="s">
        <v>769</v>
      </c>
      <c r="H323" s="89">
        <f t="shared" si="16"/>
        <v>62600010</v>
      </c>
      <c r="I323" s="3" t="s">
        <v>284</v>
      </c>
    </row>
    <row r="324" spans="2:9" s="3" customFormat="1" outlineLevel="1" x14ac:dyDescent="0.35">
      <c r="B324" s="68">
        <v>62600020</v>
      </c>
      <c r="C324" s="68" t="s">
        <v>120</v>
      </c>
      <c r="D324" s="68" t="s">
        <v>284</v>
      </c>
      <c r="E324" s="69" t="s">
        <v>769</v>
      </c>
      <c r="H324" s="89">
        <f t="shared" si="16"/>
        <v>62600020</v>
      </c>
      <c r="I324" s="3" t="s">
        <v>284</v>
      </c>
    </row>
    <row r="325" spans="2:9" s="3" customFormat="1" outlineLevel="1" x14ac:dyDescent="0.35">
      <c r="B325" s="68">
        <v>62600030</v>
      </c>
      <c r="C325" s="68" t="s">
        <v>121</v>
      </c>
      <c r="D325" s="68" t="s">
        <v>284</v>
      </c>
      <c r="E325" s="69" t="s">
        <v>769</v>
      </c>
      <c r="H325" s="89">
        <f t="shared" si="16"/>
        <v>62600030</v>
      </c>
      <c r="I325" s="3" t="s">
        <v>284</v>
      </c>
    </row>
    <row r="326" spans="2:9" s="3" customFormat="1" outlineLevel="1" x14ac:dyDescent="0.35">
      <c r="B326" s="68">
        <v>62700010</v>
      </c>
      <c r="C326" s="68" t="s">
        <v>256</v>
      </c>
      <c r="D326" s="68" t="s">
        <v>256</v>
      </c>
      <c r="E326" s="68" t="s">
        <v>128</v>
      </c>
      <c r="H326" s="89">
        <f t="shared" si="16"/>
        <v>62700010</v>
      </c>
      <c r="I326" s="3" t="s">
        <v>309</v>
      </c>
    </row>
    <row r="327" spans="2:9" s="3" customFormat="1" outlineLevel="1" x14ac:dyDescent="0.35">
      <c r="B327" s="68">
        <v>62800010</v>
      </c>
      <c r="C327" s="68" t="s">
        <v>257</v>
      </c>
      <c r="D327" s="68" t="s">
        <v>257</v>
      </c>
      <c r="E327" s="68" t="s">
        <v>130</v>
      </c>
      <c r="H327" s="89">
        <f t="shared" si="16"/>
        <v>62800010</v>
      </c>
      <c r="I327" s="3" t="s">
        <v>257</v>
      </c>
    </row>
    <row r="328" spans="2:9" s="3" customFormat="1" outlineLevel="1" x14ac:dyDescent="0.35">
      <c r="B328" s="68">
        <v>62900010</v>
      </c>
      <c r="C328" s="68" t="s">
        <v>122</v>
      </c>
      <c r="D328" s="68" t="s">
        <v>285</v>
      </c>
      <c r="E328" s="69" t="s">
        <v>769</v>
      </c>
      <c r="H328" s="89">
        <f t="shared" si="16"/>
        <v>62900010</v>
      </c>
      <c r="I328" s="3" t="s">
        <v>122</v>
      </c>
    </row>
    <row r="329" spans="2:9" s="3" customFormat="1" outlineLevel="1" x14ac:dyDescent="0.35">
      <c r="B329" s="68">
        <v>62900020</v>
      </c>
      <c r="C329" s="68" t="s">
        <v>124</v>
      </c>
      <c r="D329" s="68" t="s">
        <v>285</v>
      </c>
      <c r="E329" s="69" t="s">
        <v>769</v>
      </c>
      <c r="H329" s="89">
        <f t="shared" si="16"/>
        <v>62900020</v>
      </c>
      <c r="I329" s="3" t="s">
        <v>124</v>
      </c>
    </row>
    <row r="330" spans="2:9" s="3" customFormat="1" outlineLevel="1" x14ac:dyDescent="0.35">
      <c r="B330" s="68">
        <v>63300010</v>
      </c>
      <c r="C330" s="68" t="s">
        <v>913</v>
      </c>
      <c r="D330" s="68" t="s">
        <v>227</v>
      </c>
      <c r="E330" s="68"/>
      <c r="H330" s="89">
        <f t="shared" si="16"/>
        <v>63300010</v>
      </c>
      <c r="I330" s="3" t="s">
        <v>303</v>
      </c>
    </row>
    <row r="331" spans="2:9" s="3" customFormat="1" outlineLevel="1" x14ac:dyDescent="0.35">
      <c r="B331" s="282">
        <v>63900010</v>
      </c>
      <c r="C331" s="283" t="s">
        <v>126</v>
      </c>
      <c r="D331" s="283" t="s">
        <v>293</v>
      </c>
      <c r="E331" s="284" t="s">
        <v>769</v>
      </c>
      <c r="H331" s="89">
        <f t="shared" si="16"/>
        <v>63900010</v>
      </c>
      <c r="I331" s="3" t="s">
        <v>293</v>
      </c>
    </row>
    <row r="332" spans="2:9" outlineLevel="1" x14ac:dyDescent="0.35">
      <c r="B332" s="285"/>
      <c r="C332" s="286"/>
      <c r="D332" s="286"/>
      <c r="E332" s="287"/>
    </row>
    <row r="333" spans="2:9" outlineLevel="1" x14ac:dyDescent="0.35"/>
    <row r="334" spans="2:9" outlineLevel="1" x14ac:dyDescent="0.35">
      <c r="B334" s="37" t="s">
        <v>1168</v>
      </c>
      <c r="C334" s="3"/>
      <c r="D334" s="3"/>
      <c r="E334" s="3"/>
      <c r="F334" s="3"/>
    </row>
    <row r="335" spans="2:9" x14ac:dyDescent="0.35">
      <c r="B335" s="90" t="s">
        <v>762</v>
      </c>
      <c r="C335" s="90" t="s">
        <v>763</v>
      </c>
      <c r="D335" s="90" t="s">
        <v>765</v>
      </c>
      <c r="E335" s="90" t="s">
        <v>766</v>
      </c>
      <c r="H335" s="90" t="s">
        <v>1169</v>
      </c>
      <c r="I335" s="90" t="s">
        <v>762</v>
      </c>
    </row>
    <row r="336" spans="2:9" x14ac:dyDescent="0.35">
      <c r="B336" s="69">
        <v>15000000</v>
      </c>
      <c r="C336" s="91" t="s">
        <v>383</v>
      </c>
      <c r="D336" s="69" t="s">
        <v>398</v>
      </c>
      <c r="E336" s="69" t="s">
        <v>1170</v>
      </c>
      <c r="H336" s="92" t="s">
        <v>1178</v>
      </c>
      <c r="I336" s="69">
        <v>15000000</v>
      </c>
    </row>
    <row r="337" spans="2:9" x14ac:dyDescent="0.35">
      <c r="B337" s="69">
        <v>15000010</v>
      </c>
      <c r="C337" s="91" t="s">
        <v>384</v>
      </c>
      <c r="D337" s="69" t="s">
        <v>398</v>
      </c>
      <c r="E337" s="69" t="s">
        <v>1170</v>
      </c>
      <c r="H337" s="92" t="s">
        <v>1179</v>
      </c>
      <c r="I337" s="69">
        <v>15000010</v>
      </c>
    </row>
    <row r="338" spans="2:9" x14ac:dyDescent="0.35">
      <c r="B338" s="69">
        <v>15000020</v>
      </c>
      <c r="C338" s="91" t="s">
        <v>385</v>
      </c>
      <c r="D338" s="69" t="s">
        <v>398</v>
      </c>
      <c r="E338" s="69" t="s">
        <v>1170</v>
      </c>
      <c r="H338" s="92" t="s">
        <v>1180</v>
      </c>
      <c r="I338" s="69">
        <v>15000020</v>
      </c>
    </row>
    <row r="339" spans="2:9" x14ac:dyDescent="0.35">
      <c r="B339" s="69">
        <v>15000030</v>
      </c>
      <c r="C339" s="91" t="s">
        <v>386</v>
      </c>
      <c r="D339" s="69" t="s">
        <v>398</v>
      </c>
      <c r="E339" s="69" t="s">
        <v>1170</v>
      </c>
      <c r="H339" s="92" t="s">
        <v>1181</v>
      </c>
      <c r="I339" s="69">
        <v>15000030</v>
      </c>
    </row>
    <row r="340" spans="2:9" x14ac:dyDescent="0.35">
      <c r="B340" s="69">
        <v>15000040</v>
      </c>
      <c r="C340" s="91" t="s">
        <v>387</v>
      </c>
      <c r="D340" s="69" t="s">
        <v>398</v>
      </c>
      <c r="E340" s="69" t="s">
        <v>1170</v>
      </c>
      <c r="H340" s="92" t="s">
        <v>1182</v>
      </c>
      <c r="I340" s="69">
        <v>15000040</v>
      </c>
    </row>
    <row r="341" spans="2:9" x14ac:dyDescent="0.35">
      <c r="B341" s="69">
        <v>15000050</v>
      </c>
      <c r="C341" s="91" t="s">
        <v>388</v>
      </c>
      <c r="D341" s="69" t="s">
        <v>398</v>
      </c>
      <c r="E341" s="69" t="s">
        <v>1170</v>
      </c>
      <c r="H341" s="92" t="s">
        <v>1183</v>
      </c>
      <c r="I341" s="69">
        <v>15000050</v>
      </c>
    </row>
    <row r="342" spans="2:9" x14ac:dyDescent="0.35">
      <c r="B342" s="69">
        <v>15000060</v>
      </c>
      <c r="C342" s="91" t="s">
        <v>389</v>
      </c>
      <c r="D342" s="69" t="s">
        <v>398</v>
      </c>
      <c r="E342" s="69" t="s">
        <v>1170</v>
      </c>
      <c r="H342" s="92" t="s">
        <v>1184</v>
      </c>
      <c r="I342" s="69">
        <v>15000060</v>
      </c>
    </row>
    <row r="343" spans="2:9" x14ac:dyDescent="0.35">
      <c r="B343" s="69">
        <v>15000070</v>
      </c>
      <c r="C343" s="91" t="s">
        <v>390</v>
      </c>
      <c r="D343" s="69" t="s">
        <v>398</v>
      </c>
      <c r="E343" s="69" t="s">
        <v>1170</v>
      </c>
      <c r="H343" s="92" t="s">
        <v>1185</v>
      </c>
      <c r="I343" s="69">
        <v>15000070</v>
      </c>
    </row>
    <row r="344" spans="2:9" x14ac:dyDescent="0.35">
      <c r="B344" s="69">
        <v>15000080</v>
      </c>
      <c r="C344" s="91" t="s">
        <v>391</v>
      </c>
      <c r="D344" s="69" t="s">
        <v>398</v>
      </c>
      <c r="E344" s="69" t="s">
        <v>1170</v>
      </c>
      <c r="H344" s="92" t="s">
        <v>1186</v>
      </c>
      <c r="I344" s="69">
        <v>15000080</v>
      </c>
    </row>
    <row r="345" spans="2:9" x14ac:dyDescent="0.35">
      <c r="B345" s="69">
        <v>15200000</v>
      </c>
      <c r="C345" s="91" t="s">
        <v>392</v>
      </c>
      <c r="D345" s="69" t="s">
        <v>398</v>
      </c>
      <c r="E345" s="69" t="s">
        <v>1170</v>
      </c>
      <c r="H345" s="92" t="s">
        <v>1187</v>
      </c>
      <c r="I345" s="69">
        <v>15200000</v>
      </c>
    </row>
    <row r="346" spans="2:9" ht="29" x14ac:dyDescent="0.35">
      <c r="B346" s="69">
        <v>15020010</v>
      </c>
      <c r="C346" s="91" t="s">
        <v>393</v>
      </c>
      <c r="D346" s="69" t="s">
        <v>191</v>
      </c>
      <c r="E346" s="69" t="s">
        <v>1170</v>
      </c>
      <c r="H346" s="92">
        <v>6026</v>
      </c>
      <c r="I346" s="69">
        <v>15020010</v>
      </c>
    </row>
    <row r="347" spans="2:9" ht="29" x14ac:dyDescent="0.35">
      <c r="B347" s="69">
        <v>15020020</v>
      </c>
      <c r="C347" s="91" t="s">
        <v>394</v>
      </c>
      <c r="D347" s="69" t="s">
        <v>191</v>
      </c>
      <c r="E347" s="69" t="s">
        <v>1170</v>
      </c>
      <c r="H347" s="92">
        <v>6126</v>
      </c>
      <c r="I347" s="69">
        <v>15020020</v>
      </c>
    </row>
    <row r="348" spans="2:9" ht="29" x14ac:dyDescent="0.35">
      <c r="B348" s="69">
        <v>15020030</v>
      </c>
      <c r="C348" s="91" t="s">
        <v>395</v>
      </c>
      <c r="D348" s="69" t="s">
        <v>191</v>
      </c>
      <c r="E348" s="69" t="s">
        <v>1170</v>
      </c>
      <c r="H348" s="92">
        <v>6226</v>
      </c>
      <c r="I348" s="69">
        <v>15020030</v>
      </c>
    </row>
    <row r="349" spans="2:9" ht="29" x14ac:dyDescent="0.35">
      <c r="B349" s="69">
        <v>15020040</v>
      </c>
      <c r="C349" s="91" t="s">
        <v>396</v>
      </c>
      <c r="D349" s="69" t="s">
        <v>191</v>
      </c>
      <c r="E349" s="69" t="s">
        <v>1170</v>
      </c>
      <c r="H349" s="92">
        <v>6326</v>
      </c>
      <c r="I349" s="69">
        <v>15020040</v>
      </c>
    </row>
    <row r="350" spans="2:9" ht="29" x14ac:dyDescent="0.35">
      <c r="B350" s="69">
        <v>15020080</v>
      </c>
      <c r="C350" s="91" t="s">
        <v>397</v>
      </c>
      <c r="D350" s="69" t="s">
        <v>191</v>
      </c>
      <c r="E350" s="69" t="s">
        <v>1170</v>
      </c>
      <c r="H350" s="92">
        <v>6426</v>
      </c>
      <c r="I350" s="69">
        <v>15020080</v>
      </c>
    </row>
    <row r="351" spans="2:9" ht="29" x14ac:dyDescent="0.35">
      <c r="B351" s="93">
        <v>15020090</v>
      </c>
      <c r="C351" s="94" t="s">
        <v>417</v>
      </c>
      <c r="D351" s="69" t="s">
        <v>191</v>
      </c>
      <c r="E351" s="93" t="s">
        <v>1170</v>
      </c>
      <c r="H351" s="95">
        <v>6526</v>
      </c>
      <c r="I351" s="93">
        <v>15020090</v>
      </c>
    </row>
    <row r="354" spans="2:9" s="81" customFormat="1" x14ac:dyDescent="0.35">
      <c r="B354" s="80" t="s">
        <v>1171</v>
      </c>
      <c r="H354" s="82"/>
      <c r="I354" s="82"/>
    </row>
    <row r="356" spans="2:9" x14ac:dyDescent="0.35">
      <c r="B356" s="1" t="s">
        <v>334</v>
      </c>
      <c r="C356" s="1" t="s">
        <v>420</v>
      </c>
    </row>
    <row r="357" spans="2:9" x14ac:dyDescent="0.35">
      <c r="B357" s="249" t="s">
        <v>421</v>
      </c>
      <c r="C357" s="249" t="s">
        <v>424</v>
      </c>
    </row>
    <row r="358" spans="2:9" x14ac:dyDescent="0.35">
      <c r="B358" s="249" t="s">
        <v>422</v>
      </c>
      <c r="C358" s="249" t="s">
        <v>425</v>
      </c>
    </row>
    <row r="359" spans="2:9" x14ac:dyDescent="0.35">
      <c r="B359" s="249" t="s">
        <v>423</v>
      </c>
      <c r="C359" s="249" t="s">
        <v>426</v>
      </c>
    </row>
    <row r="362" spans="2:9" s="81" customFormat="1" x14ac:dyDescent="0.35">
      <c r="B362" s="80" t="s">
        <v>427</v>
      </c>
      <c r="H362" s="82"/>
      <c r="I362" s="82"/>
    </row>
    <row r="364" spans="2:9" x14ac:dyDescent="0.35">
      <c r="B364" s="96" t="s">
        <v>1172</v>
      </c>
      <c r="C364" s="96" t="s">
        <v>1173</v>
      </c>
    </row>
    <row r="365" spans="2:9" x14ac:dyDescent="0.35">
      <c r="B365" t="s">
        <v>431</v>
      </c>
      <c r="C365" t="s">
        <v>431</v>
      </c>
    </row>
    <row r="366" spans="2:9" x14ac:dyDescent="0.35">
      <c r="B366" t="s">
        <v>430</v>
      </c>
      <c r="C366" t="s">
        <v>428</v>
      </c>
    </row>
    <row r="367" spans="2:9" x14ac:dyDescent="0.35">
      <c r="B367" t="s">
        <v>428</v>
      </c>
      <c r="C367" t="s">
        <v>429</v>
      </c>
    </row>
    <row r="368" spans="2:9" x14ac:dyDescent="0.35">
      <c r="B368" t="s">
        <v>429</v>
      </c>
    </row>
    <row r="371" spans="2:9" s="81" customFormat="1" x14ac:dyDescent="0.35">
      <c r="B371" s="80" t="s">
        <v>513</v>
      </c>
      <c r="H371" s="82"/>
      <c r="I371" s="82"/>
    </row>
    <row r="372" spans="2:9" x14ac:dyDescent="0.35">
      <c r="B372" s="84" t="s">
        <v>182</v>
      </c>
    </row>
    <row r="373" spans="2:9" x14ac:dyDescent="0.35">
      <c r="B373" s="84" t="s">
        <v>439</v>
      </c>
    </row>
  </sheetData>
  <conditionalFormatting sqref="I133">
    <cfRule type="duplicateValues" dxfId="1" priority="1"/>
  </conditionalFormatting>
  <conditionalFormatting sqref="I59:I132 I134:I146">
    <cfRule type="duplicateValues" dxfId="0" priority="1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Guidance (Indonesia)</vt:lpstr>
      <vt:lpstr>Guidance (English)</vt:lpstr>
      <vt:lpstr>Asset determination</vt:lpstr>
      <vt:lpstr>Cover</vt:lpstr>
      <vt:lpstr>Budget Capex Detail</vt:lpstr>
      <vt:lpstr>Budget Opex Detail</vt:lpstr>
      <vt:lpstr>Activity Master Opex</vt:lpstr>
      <vt:lpstr>Master Data</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Ajeng Nugraheni</cp:lastModifiedBy>
  <dcterms:created xsi:type="dcterms:W3CDTF">2023-07-25T08:22:13Z</dcterms:created>
  <dcterms:modified xsi:type="dcterms:W3CDTF">2025-08-04T04:46:13Z</dcterms:modified>
</cp:coreProperties>
</file>